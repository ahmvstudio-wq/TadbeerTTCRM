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EADS DATABASE" sheetId="1" state="visible" r:id="rId1"/>
    <sheet xmlns:r="http://schemas.openxmlformats.org/officeDocument/2006/relationships" name="2. ACTIVITY LOG" sheetId="2" state="visible" r:id="rId2"/>
    <sheet xmlns:r="http://schemas.openxmlformats.org/officeDocument/2006/relationships" name="3. PIPELINE TRACKER" sheetId="3" state="visible" r:id="rId3"/>
    <sheet xmlns:r="http://schemas.openxmlformats.org/officeDocument/2006/relationships" name="4. WHATSAPP TRACKER" sheetId="4" state="visible" r:id="rId4"/>
    <sheet xmlns:r="http://schemas.openxmlformats.org/officeDocument/2006/relationships" name="5. LINKEDIN SEQUENCE" sheetId="5" state="visible" r:id="rId5"/>
    <sheet xmlns:r="http://schemas.openxmlformats.org/officeDocument/2006/relationships" name="6. PILLAR TARGETS" sheetId="6" state="visible" r:id="rId6"/>
    <sheet xmlns:r="http://schemas.openxmlformats.org/officeDocument/2006/relationships" name="7. AB TESTING LOG" sheetId="7" state="visible" r:id="rId7"/>
    <sheet xmlns:r="http://schemas.openxmlformats.org/officeDocument/2006/relationships" name="8. WEEKLY REPOR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3A4A"/>
      <sz val="8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color rgb="00000000"/>
      <sz val="9"/>
    </font>
    <font>
      <name val="Arial"/>
      <i val="1"/>
      <color rgb="007B241C"/>
      <sz val="8"/>
    </font>
    <font>
      <name val="Arial"/>
      <i val="1"/>
      <color rgb="000E6655"/>
      <sz val="8"/>
    </font>
    <font>
      <name val="Arial"/>
      <b val="1"/>
      <color rgb="001A3A4A"/>
      <sz val="10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8"/>
    </font>
  </fonts>
  <fills count="13">
    <fill>
      <patternFill/>
    </fill>
    <fill>
      <patternFill patternType="gray125"/>
    </fill>
    <fill>
      <patternFill patternType="solid">
        <fgColor rgb="001A3A4A"/>
      </patternFill>
    </fill>
    <fill>
      <patternFill patternType="solid">
        <fgColor rgb="00F5F0E8"/>
      </patternFill>
    </fill>
    <fill>
      <patternFill patternType="solid">
        <fgColor rgb="00B8922A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E8F8F5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7B241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  <xf numFmtId="9" fontId="5" fillId="3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9" fontId="5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3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8" customWidth="1" min="4" max="4"/>
    <col width="16" customWidth="1" min="5" max="5"/>
    <col width="22" customWidth="1" min="6" max="6"/>
    <col width="12" customWidth="1" min="7" max="7"/>
    <col width="10" customWidth="1" min="8" max="8"/>
    <col width="15" customWidth="1" min="9" max="9"/>
    <col width="22" customWidth="1" min="10" max="10"/>
    <col width="26" customWidth="1" min="11" max="11"/>
    <col width="14" customWidth="1" min="12" max="12"/>
    <col width="12" customWidth="1" min="13" max="13"/>
    <col width="10" customWidth="1" min="14" max="14"/>
    <col width="16" customWidth="1" min="15" max="15"/>
    <col width="14" customWidth="1" min="16" max="16"/>
    <col width="22" customWidth="1" min="17" max="17"/>
    <col width="16" customWidth="1" min="18" max="18"/>
    <col width="14" customWidth="1" min="19" max="19"/>
    <col width="30" customWidth="1" min="20" max="20"/>
  </cols>
  <sheetData>
    <row r="1" ht="34" customHeight="1">
      <c r="A1" s="1" t="inlineStr">
        <is>
          <t>TADBEER TRANSFORMATIONS │ LEADS DATABASE</t>
        </is>
      </c>
    </row>
    <row r="2" ht="16" customHeight="1">
      <c r="A2" s="2" t="inlineStr">
        <is>
          <t>Master record for every prospect. One row = one company. Update status after EVERY interaction. Fawtara flag is mandatory.</t>
        </is>
      </c>
    </row>
    <row r="3" ht="28" customHeight="1">
      <c r="A3" s="3" t="inlineStr">
        <is>
          <t>Lead ID</t>
        </is>
      </c>
      <c r="B3" s="3" t="inlineStr">
        <is>
          <t>Date Added</t>
        </is>
      </c>
      <c r="C3" s="3" t="inlineStr">
        <is>
          <t>Company Name</t>
        </is>
      </c>
      <c r="D3" s="3" t="inlineStr">
        <is>
          <t>Contact Name</t>
        </is>
      </c>
      <c r="E3" s="3" t="inlineStr">
        <is>
          <t>Job Title</t>
        </is>
      </c>
      <c r="F3" s="3" t="inlineStr">
        <is>
          <t>Industry</t>
        </is>
      </c>
      <c r="G3" s="3" t="inlineStr">
        <is>
          <t>Company Size</t>
        </is>
      </c>
      <c r="H3" s="3" t="inlineStr">
        <is>
          <t>City</t>
        </is>
      </c>
      <c r="I3" s="3" t="inlineStr">
        <is>
          <t>Phone / WhatsApp</t>
        </is>
      </c>
      <c r="J3" s="3" t="inlineStr">
        <is>
          <t>Email</t>
        </is>
      </c>
      <c r="K3" s="3" t="inlineStr">
        <is>
          <t>LinkedIn URL</t>
        </is>
      </c>
      <c r="L3" s="3" t="inlineStr">
        <is>
          <t>Lead Source</t>
        </is>
      </c>
      <c r="M3" s="3" t="inlineStr">
        <is>
          <t>Assigned BDM</t>
        </is>
      </c>
      <c r="N3" s="3" t="inlineStr">
        <is>
          <t>ICP Match</t>
        </is>
      </c>
      <c r="O3" s="3" t="inlineStr">
        <is>
          <t>Fawtara Compliance Flag</t>
        </is>
      </c>
      <c r="P3" s="3" t="inlineStr">
        <is>
          <t>Lead Status</t>
        </is>
      </c>
      <c r="Q3" s="3" t="inlineStr">
        <is>
          <t>Archive / Lost</t>
        </is>
      </c>
      <c r="R3" s="3" t="inlineStr">
        <is>
          <t>Pipeline Stage</t>
        </is>
      </c>
      <c r="S3" s="3" t="inlineStr">
        <is>
          <t>Est. Deal Value (OMR)</t>
        </is>
      </c>
      <c r="T3" s="3" t="inlineStr">
        <is>
          <t>Notes</t>
        </is>
      </c>
    </row>
    <row r="4" ht="18" customHeight="1">
      <c r="A4" s="4" t="inlineStr">
        <is>
          <t>Auto</t>
        </is>
      </c>
      <c r="B4" s="4" t="inlineStr">
        <is>
          <t>DD/MM/YY</t>
        </is>
      </c>
      <c r="C4" s="4" t="inlineStr">
        <is>
          <t>Legal name</t>
        </is>
      </c>
      <c r="D4" s="4" t="inlineStr">
        <is>
          <t>Decision maker</t>
        </is>
      </c>
      <c r="E4" s="4" t="inlineStr">
        <is>
          <t>CEO/COO/MD…</t>
        </is>
      </c>
      <c r="F4" s="4" t="inlineStr">
        <is>
          <t>See dropdown</t>
        </is>
      </c>
      <c r="G4" s="4" t="inlineStr">
        <is>
          <t>Employees</t>
        </is>
      </c>
      <c r="H4" s="4" t="inlineStr">
        <is>
          <t>Muscat/Sohar…</t>
        </is>
      </c>
      <c r="I4" s="4" t="inlineStr">
        <is>
          <t>WA preferred</t>
        </is>
      </c>
      <c r="J4" s="4" t="inlineStr">
        <is>
          <t>Corporate</t>
        </is>
      </c>
      <c r="K4" s="4" t="inlineStr">
        <is>
          <t>Profile URL</t>
        </is>
      </c>
      <c r="L4" s="4" t="inlineStr">
        <is>
          <t>Channel</t>
        </is>
      </c>
      <c r="M4" s="4" t="inlineStr">
        <is>
          <t>BDM name</t>
        </is>
      </c>
      <c r="N4" s="4" t="inlineStr">
        <is>
          <t>Yes/No/Partial</t>
        </is>
      </c>
      <c r="O4" s="4" t="inlineStr">
        <is>
          <t>Yes=urgent/No/Unknown</t>
        </is>
      </c>
      <c r="P4" s="4" t="inlineStr">
        <is>
          <t>Current status</t>
        </is>
      </c>
      <c r="Q4" s="4" t="inlineStr">
        <is>
          <t>Only if exited</t>
        </is>
      </c>
      <c r="R4" s="4" t="inlineStr">
        <is>
          <t>Funnel stage</t>
        </is>
      </c>
      <c r="S4" s="4" t="inlineStr">
        <is>
          <t>OMR estimate</t>
        </is>
      </c>
      <c r="T4" s="4" t="inlineStr">
        <is>
          <t>Context &amp; flags</t>
        </is>
      </c>
    </row>
    <row r="5" ht="22" customHeight="1">
      <c r="A5" s="5" t="inlineStr">
        <is>
          <t>LEGEND ▶  ICP Match: Founder/CEO/COO/MD/IT Head/HR Director in Manufacturing, Logistics, Construction, Retail, Healthcare, Family Biz, B2B Services  |  Fawtara Flag: August 2026 e-invoicing mandate — mark YES for urgency hook  |  Archive ≠ Closed Lost (Archive = future opportunity)</t>
        </is>
      </c>
    </row>
    <row r="6" ht="18" customHeight="1">
      <c r="A6" s="6" t="inlineStr">
        <is>
          <t>TDB-001</t>
        </is>
      </c>
      <c r="B6" s="6" t="inlineStr">
        <is>
          <t>09/07/2026</t>
        </is>
      </c>
      <c r="C6" s="6" t="inlineStr">
        <is>
          <t>Al Rashidi Trading LLC</t>
        </is>
      </c>
      <c r="D6" s="6" t="inlineStr">
        <is>
          <t>Mohammed Al Rashidi</t>
        </is>
      </c>
      <c r="E6" s="6" t="inlineStr">
        <is>
          <t>CEO</t>
        </is>
      </c>
      <c r="F6" s="6" t="inlineStr">
        <is>
          <t>Retail &amp; Omni-channel Commerce</t>
        </is>
      </c>
      <c r="G6" s="6" t="inlineStr">
        <is>
          <t>50-100</t>
        </is>
      </c>
      <c r="H6" s="6" t="inlineStr">
        <is>
          <t>Muscat</t>
        </is>
      </c>
      <c r="I6" s="6" t="inlineStr">
        <is>
          <t>+968 9100 0001</t>
        </is>
      </c>
      <c r="J6" s="6" t="inlineStr">
        <is>
          <t>m.rashidi@alrashidi.om</t>
        </is>
      </c>
      <c r="K6" s="6" t="inlineStr">
        <is>
          <t>linkedin.com/in/alrashidi</t>
        </is>
      </c>
      <c r="L6" s="6" t="inlineStr">
        <is>
          <t>LinkedIn</t>
        </is>
      </c>
      <c r="M6" s="6" t="inlineStr">
        <is>
          <t>Taufiq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Contacted</t>
        </is>
      </c>
      <c r="Q6" s="6" t="inlineStr"/>
      <c r="R6" s="6" t="inlineStr">
        <is>
          <t>Initial Contact</t>
        </is>
      </c>
      <c r="S6" s="6" t="n">
        <v>2500</v>
      </c>
      <c r="T6" s="6" t="inlineStr">
        <is>
          <t>Interested in ERP. Mentioned Fawtara concern.</t>
        </is>
      </c>
    </row>
    <row r="7" ht="18" customHeight="1">
      <c r="A7" s="7" t="inlineStr">
        <is>
          <t>TDB-002</t>
        </is>
      </c>
      <c r="B7" s="7" t="inlineStr">
        <is>
          <t>10/07/2026</t>
        </is>
      </c>
      <c r="C7" s="7" t="inlineStr">
        <is>
          <t>Sohar Logistics Co.</t>
        </is>
      </c>
      <c r="D7" s="7" t="inlineStr">
        <is>
          <t>Ahmed Al Balushi</t>
        </is>
      </c>
      <c r="E7" s="7" t="inlineStr">
        <is>
          <t>COO</t>
        </is>
      </c>
      <c r="F7" s="7" t="inlineStr">
        <is>
          <t>Logistics &amp; Transportation</t>
        </is>
      </c>
      <c r="G7" s="7" t="inlineStr">
        <is>
          <t>100-250</t>
        </is>
      </c>
      <c r="H7" s="7" t="inlineStr">
        <is>
          <t>Sohar</t>
        </is>
      </c>
      <c r="I7" s="7" t="inlineStr">
        <is>
          <t>+968 9100 0002</t>
        </is>
      </c>
      <c r="J7" s="7" t="inlineStr">
        <is>
          <t>a.balushi@soharlog.om</t>
        </is>
      </c>
      <c r="K7" s="7" t="inlineStr">
        <is>
          <t>linkedin.com/in/abalushi</t>
        </is>
      </c>
      <c r="L7" s="7" t="inlineStr">
        <is>
          <t>WhatsApp</t>
        </is>
      </c>
      <c r="M7" s="7" t="inlineStr">
        <is>
          <t>Taufiq</t>
        </is>
      </c>
      <c r="N7" s="7" t="inlineStr">
        <is>
          <t>Yes</t>
        </is>
      </c>
      <c r="O7" s="7" t="inlineStr">
        <is>
          <t>Yes</t>
        </is>
      </c>
      <c r="P7" s="7" t="inlineStr">
        <is>
          <t>New</t>
        </is>
      </c>
      <c r="Q7" s="7" t="inlineStr"/>
      <c r="R7" s="7" t="inlineStr">
        <is>
          <t>Lead</t>
        </is>
      </c>
      <c r="S7" s="7" t="n">
        <v>3500</v>
      </c>
      <c r="T7" s="7" t="inlineStr">
        <is>
          <t>Sourced from Chamber of Commerce.</t>
        </is>
      </c>
    </row>
    <row r="8" ht="18" customHeight="1">
      <c r="A8" s="6" t="inlineStr">
        <is>
          <t>TDB-003</t>
        </is>
      </c>
      <c r="B8" s="6" t="inlineStr">
        <is>
          <t>11/07/2026</t>
        </is>
      </c>
      <c r="C8" s="6" t="inlineStr">
        <is>
          <t>Gulf Marble Factory</t>
        </is>
      </c>
      <c r="D8" s="6" t="inlineStr">
        <is>
          <t>Khalid Al Farsi</t>
        </is>
      </c>
      <c r="E8" s="6" t="inlineStr">
        <is>
          <t>MD</t>
        </is>
      </c>
      <c r="F8" s="6" t="inlineStr">
        <is>
          <t>Manufacturing &amp; Industrial</t>
        </is>
      </c>
      <c r="G8" s="6" t="inlineStr">
        <is>
          <t>200+</t>
        </is>
      </c>
      <c r="H8" s="6" t="inlineStr">
        <is>
          <t>Muscat</t>
        </is>
      </c>
      <c r="I8" s="6" t="inlineStr">
        <is>
          <t>+968 9100 0003</t>
        </is>
      </c>
      <c r="J8" s="6" t="inlineStr">
        <is>
          <t>k.farsi@gulfmarble.om</t>
        </is>
      </c>
      <c r="K8" s="6" t="inlineStr">
        <is>
          <t>linkedin.com/in/kfarsi</t>
        </is>
      </c>
      <c r="L8" s="6" t="inlineStr">
        <is>
          <t>Referral</t>
        </is>
      </c>
      <c r="M8" s="6" t="inlineStr">
        <is>
          <t>Taufiq</t>
        </is>
      </c>
      <c r="N8" s="6" t="inlineStr">
        <is>
          <t>Yes</t>
        </is>
      </c>
      <c r="O8" s="6" t="inlineStr">
        <is>
          <t>Unknown</t>
        </is>
      </c>
      <c r="P8" s="6" t="inlineStr">
        <is>
          <t>Meeting Booked</t>
        </is>
      </c>
      <c r="Q8" s="6" t="inlineStr"/>
      <c r="R8" s="6" t="inlineStr">
        <is>
          <t>Fix Meeting</t>
        </is>
      </c>
      <c r="S8" s="6" t="n">
        <v>5000</v>
      </c>
      <c r="T8" s="6" t="inlineStr">
        <is>
          <t>Referred by Sultanate of Marble. High intent.</t>
        </is>
      </c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 ht="18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 ht="18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 ht="18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 ht="18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 ht="18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 ht="18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 ht="18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 ht="18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 ht="18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 ht="18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 ht="18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 ht="18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 ht="18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 ht="18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 ht="18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 ht="18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 ht="18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 ht="18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 ht="18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 ht="18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 ht="18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 ht="18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 ht="18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 ht="18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</row>
    <row r="106" ht="18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</row>
  </sheetData>
  <mergeCells count="3">
    <mergeCell ref="A1:T1"/>
    <mergeCell ref="A2:T2"/>
    <mergeCell ref="A5:T5"/>
  </mergeCells>
  <dataValidations count="8">
    <dataValidation sqref="F6:F106" showDropDown="0" showInputMessage="1" showErrorMessage="0" allowBlank="1" promptTitle="Select" prompt="Industry" type="list">
      <formula1>"Manufacturing &amp; Industrial,Logistics &amp; Transportation,Construction &amp; Real Estate,Retail &amp; Omni-channel Commerce,Healthcare Clinics &amp; Centers,Family Businesses &amp; Trading,B2B Professional Services,Other"</formula1>
    </dataValidation>
    <dataValidation sqref="H6:H106" showDropDown="0" showInputMessage="1" showErrorMessage="0" allowBlank="1" promptTitle="Select" prompt="City" type="list">
      <formula1>"Muscat,Sohar,Salalah,Other GCC,Remote"</formula1>
    </dataValidation>
    <dataValidation sqref="L6:L106" showDropDown="0" showInputMessage="1" showErrorMessage="0" allowBlank="1" promptTitle="Select" prompt="Source" type="list">
      <formula1>"LinkedIn,WhatsApp,Cold Call,Cold Email,Referral,Walk-in Prospect,Event &amp; Networking,AI Partnership,Other"</formula1>
    </dataValidation>
    <dataValidation sqref="N6:N106" showDropDown="0" showInputMessage="1" showErrorMessage="0" allowBlank="1" promptTitle="Select" prompt="ICP Match" type="list">
      <formula1>"Yes,No,Partial"</formula1>
    </dataValidation>
    <dataValidation sqref="O6:O106" showDropDown="0" showInputMessage="1" showErrorMessage="0" allowBlank="1" promptTitle="Select" prompt="Fawtara urgency flag" type="list">
      <formula1>"Yes (Urgent),No,Unknown"</formula1>
    </dataValidation>
    <dataValidation sqref="P6:P106" showDropDown="0" showInputMessage="1" showErrorMessage="0" allowBlank="1" promptTitle="Select" prompt="Lead status" type="list">
      <formula1>"New,Contacted,Qualified,Meeting Booked,Post-Meeting,Proposal Sent,Negotiation,Closed Won,Closed Lost,Archived"</formula1>
    </dataValidation>
    <dataValidation sqref="Q6:Q106" showDropDown="0" showInputMessage="1" showErrorMessage="0" allowBlank="1" promptTitle="Select" prompt="Exit reason" type="list">
      <formula1>"Closed Lost - Not Interested,Closed Lost - No Budget,Closed Lost - Competitor,Closed Lost - Timing,Archived - Future Opportunity,Archived - No Contact"</formula1>
    </dataValidation>
    <dataValidation sqref="R6:R106" showDropDown="0" showInputMessage="1" showErrorMessage="0" allowBlank="1" promptTitle="Select" prompt="Pipeline stage" type="list">
      <formula1>"Lead,Initial Contact,Qualify Lead,Fix Meeting,Meeting Day,Follow-Up,Post-Meeting Outcome,Proposal Sent,Negotiation,Closed Won,Closed Lost,Archived"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18" customWidth="1" min="5" max="5"/>
    <col width="12" customWidth="1" min="6" max="6"/>
    <col width="8" customWidth="1" min="7" max="7"/>
    <col width="22" customWidth="1" min="8" max="8"/>
    <col width="10" customWidth="1" min="9" max="9"/>
    <col width="14" customWidth="1" min="10" max="10"/>
    <col width="18" customWidth="1" min="11" max="11"/>
    <col width="16" customWidth="1" min="12" max="12"/>
    <col width="30" customWidth="1" min="13" max="13"/>
    <col width="30" customWidth="1" min="14" max="14"/>
    <col width="22" customWidth="1" min="15" max="15"/>
    <col width="14" customWidth="1" min="16" max="16"/>
    <col width="10" customWidth="1" min="17" max="17"/>
    <col width="12" customWidth="1" min="18" max="18"/>
    <col width="26" customWidth="1" min="19" max="19"/>
  </cols>
  <sheetData>
    <row r="1" ht="34" customHeight="1">
      <c r="A1" s="1" t="inlineStr">
        <is>
          <t>TADBEER TRANSFORMATIONS │ OUTREACH ACTIVITY LOG</t>
        </is>
      </c>
    </row>
    <row r="2" ht="16" customHeight="1">
      <c r="A2" s="2" t="inlineStr">
        <is>
          <t>One row = one touch. Log EVERY interaction across ALL channels. Callback reminders mandatory on 'Not Answered'. Post-meeting branch must be filled.</t>
        </is>
      </c>
    </row>
    <row r="3" ht="28" customHeight="1">
      <c r="A3" s="3" t="inlineStr">
        <is>
          <t>Log ID</t>
        </is>
      </c>
      <c r="B3" s="3" t="inlineStr">
        <is>
          <t>Date</t>
        </is>
      </c>
      <c r="C3" s="3" t="inlineStr">
        <is>
          <t>Lead ID</t>
        </is>
      </c>
      <c r="D3" s="3" t="inlineStr">
        <is>
          <t>Company Name</t>
        </is>
      </c>
      <c r="E3" s="3" t="inlineStr">
        <is>
          <t>Contact Name</t>
        </is>
      </c>
      <c r="F3" s="3" t="inlineStr">
        <is>
          <t>Channel</t>
        </is>
      </c>
      <c r="G3" s="3" t="inlineStr">
        <is>
          <t>Touch #</t>
        </is>
      </c>
      <c r="H3" s="3" t="inlineStr">
        <is>
          <t>Message Type</t>
        </is>
      </c>
      <c r="I3" s="3" t="inlineStr">
        <is>
          <t>Message Sent?</t>
        </is>
      </c>
      <c r="J3" s="3" t="inlineStr">
        <is>
          <t>Response Received?</t>
        </is>
      </c>
      <c r="K3" s="3" t="inlineStr">
        <is>
          <t>Response Type</t>
        </is>
      </c>
      <c r="L3" s="3" t="inlineStr">
        <is>
          <t>Callback Reminder Date</t>
        </is>
      </c>
      <c r="M3" s="3" t="inlineStr">
        <is>
          <t>Post-Meeting Outcome Branch</t>
        </is>
      </c>
      <c r="N3" s="3" t="inlineStr">
        <is>
          <t>Outcome Notes / What They Said</t>
        </is>
      </c>
      <c r="O3" s="3" t="inlineStr">
        <is>
          <t>Next Action</t>
        </is>
      </c>
      <c r="P3" s="3" t="inlineStr">
        <is>
          <t>Next Action Date</t>
        </is>
      </c>
      <c r="Q3" s="3" t="inlineStr">
        <is>
          <t>BDM</t>
        </is>
      </c>
      <c r="R3" s="3" t="inlineStr">
        <is>
          <t>Time Spent (min)</t>
        </is>
      </c>
      <c r="S3" s="3" t="inlineStr">
        <is>
          <t>Script Used</t>
        </is>
      </c>
    </row>
    <row r="4" ht="18" customHeight="1">
      <c r="A4" s="4" t="inlineStr">
        <is>
          <t>LOG-XXX</t>
        </is>
      </c>
      <c r="B4" s="4" t="inlineStr">
        <is>
          <t>DD/MM/YY</t>
        </is>
      </c>
      <c r="C4" s="4" t="inlineStr">
        <is>
          <t>Ref DB</t>
        </is>
      </c>
      <c r="D4" s="4" t="inlineStr">
        <is>
          <t>Auto-fill</t>
        </is>
      </c>
      <c r="E4" s="4" t="inlineStr">
        <is>
          <t>Auto-fill</t>
        </is>
      </c>
      <c r="F4" s="4" t="inlineStr">
        <is>
          <t>Channel</t>
        </is>
      </c>
      <c r="G4" s="4" t="inlineStr">
        <is>
          <t>1–7 or WA</t>
        </is>
      </c>
      <c r="H4" s="4" t="inlineStr">
        <is>
          <t>Touch category</t>
        </is>
      </c>
      <c r="I4" s="4" t="inlineStr">
        <is>
          <t>Yes/No</t>
        </is>
      </c>
      <c r="J4" s="4" t="inlineStr">
        <is>
          <t>Yes/No</t>
        </is>
      </c>
      <c r="K4" s="4" t="inlineStr">
        <is>
          <t>Response</t>
        </is>
      </c>
      <c r="L4" s="4" t="inlineStr">
        <is>
          <t>MANDATORY if Not Answered</t>
        </is>
      </c>
      <c r="M4" s="4" t="inlineStr">
        <is>
          <t>Only after meetings</t>
        </is>
      </c>
      <c r="N4" s="4" t="inlineStr">
        <is>
          <t>Verbatim or summary</t>
        </is>
      </c>
      <c r="O4" s="4" t="inlineStr">
        <is>
          <t>Next step</t>
        </is>
      </c>
      <c r="P4" s="4" t="inlineStr">
        <is>
          <t>DD/MM/YY</t>
        </is>
      </c>
      <c r="Q4" s="4" t="inlineStr">
        <is>
          <t>Who sent</t>
        </is>
      </c>
      <c r="R4" s="4" t="inlineStr">
        <is>
          <t>Minutes</t>
        </is>
      </c>
      <c r="S4" s="4" t="inlineStr">
        <is>
          <t>Template ref</t>
        </is>
      </c>
    </row>
    <row r="5" ht="22" customHeight="1">
      <c r="A5" s="8" t="inlineStr">
        <is>
          <t>RULE: If Response Type = 'Not Answered' → Callback Reminder Date is MANDATORY.  If Touch # = Meeting → Post-Meeting Outcome Branch is MANDATORY (Positive→Proposal / Needs Info→Follow-up Meeting / Not Interested→Close Lost)</t>
        </is>
      </c>
    </row>
    <row r="6" ht="18" customHeight="1">
      <c r="A6" s="6" t="inlineStr">
        <is>
          <t>LOG-001</t>
        </is>
      </c>
      <c r="B6" s="6" t="inlineStr">
        <is>
          <t>09/07/2026</t>
        </is>
      </c>
      <c r="C6" s="6" t="inlineStr">
        <is>
          <t>TDB-001</t>
        </is>
      </c>
      <c r="D6" s="6" t="inlineStr">
        <is>
          <t>Al Rashidi Trading LLC</t>
        </is>
      </c>
      <c r="E6" s="6" t="inlineStr">
        <is>
          <t>Mohammed Al Rashidi</t>
        </is>
      </c>
      <c r="F6" s="6" t="inlineStr">
        <is>
          <t>LinkedIn</t>
        </is>
      </c>
      <c r="G6" s="6" t="n">
        <v>1</v>
      </c>
      <c r="H6" s="6" t="inlineStr">
        <is>
          <t>Connection Request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Responded</t>
        </is>
      </c>
      <c r="L6" s="6" t="inlineStr"/>
      <c r="M6" s="6" t="inlineStr"/>
      <c r="N6" s="6" t="inlineStr">
        <is>
          <t>Accepted connection. No note reply yet.</t>
        </is>
      </c>
      <c r="O6" s="6" t="inlineStr">
        <is>
          <t>Send Soft Diagnostic</t>
        </is>
      </c>
      <c r="P6" s="6" t="inlineStr">
        <is>
          <t>12/07/2026</t>
        </is>
      </c>
      <c r="Q6" s="6" t="inlineStr">
        <is>
          <t>Taufiq</t>
        </is>
      </c>
      <c r="R6" s="6" t="n">
        <v>5</v>
      </c>
      <c r="S6" s="6" t="inlineStr">
        <is>
          <t>Touch 1 - LI Connection Template</t>
        </is>
      </c>
    </row>
    <row r="7" ht="18" customHeight="1">
      <c r="A7" s="7" t="inlineStr">
        <is>
          <t>LOG-002</t>
        </is>
      </c>
      <c r="B7" s="7" t="inlineStr">
        <is>
          <t>12/07/2026</t>
        </is>
      </c>
      <c r="C7" s="7" t="inlineStr">
        <is>
          <t>TDB-001</t>
        </is>
      </c>
      <c r="D7" s="7" t="inlineStr">
        <is>
          <t>Al Rashidi Trading LLC</t>
        </is>
      </c>
      <c r="E7" s="7" t="inlineStr">
        <is>
          <t>Mohammed Al Rashidi</t>
        </is>
      </c>
      <c r="F7" s="7" t="inlineStr">
        <is>
          <t>LinkedIn</t>
        </is>
      </c>
      <c r="G7" s="7" t="n">
        <v>2</v>
      </c>
      <c r="H7" s="7" t="inlineStr">
        <is>
          <t>Soft Diagnostic</t>
        </is>
      </c>
      <c r="I7" s="7" t="inlineStr">
        <is>
          <t>Yes</t>
        </is>
      </c>
      <c r="J7" s="7" t="inlineStr">
        <is>
          <t>Yes</t>
        </is>
      </c>
      <c r="K7" s="7" t="inlineStr">
        <is>
          <t>Positive</t>
        </is>
      </c>
      <c r="L7" s="7" t="inlineStr"/>
      <c r="M7" s="7" t="inlineStr"/>
      <c r="N7" s="7" t="inlineStr">
        <is>
          <t>Interested in Fawtara checklist. Said timing is good.</t>
        </is>
      </c>
      <c r="O7" s="7" t="inlineStr">
        <is>
          <t>Send Diagnostic Asset</t>
        </is>
      </c>
      <c r="P7" s="7" t="inlineStr">
        <is>
          <t>17/07/2026</t>
        </is>
      </c>
      <c r="Q7" s="7" t="inlineStr">
        <is>
          <t>Taufiq</t>
        </is>
      </c>
      <c r="R7" s="7" t="n">
        <v>8</v>
      </c>
      <c r="S7" s="7" t="inlineStr">
        <is>
          <t>Touch 2 - Fawtara Diagnostic</t>
        </is>
      </c>
    </row>
    <row r="8" ht="18" customHeight="1">
      <c r="A8" s="6" t="inlineStr">
        <is>
          <t>LOG-003</t>
        </is>
      </c>
      <c r="B8" s="6" t="inlineStr">
        <is>
          <t>10/07/2026</t>
        </is>
      </c>
      <c r="C8" s="6" t="inlineStr">
        <is>
          <t>TDB-002</t>
        </is>
      </c>
      <c r="D8" s="6" t="inlineStr">
        <is>
          <t>Sohar Logistics Co.</t>
        </is>
      </c>
      <c r="E8" s="6" t="inlineStr">
        <is>
          <t>Ahmed Al Balushi</t>
        </is>
      </c>
      <c r="F8" s="6" t="inlineStr">
        <is>
          <t>WhatsApp</t>
        </is>
      </c>
      <c r="G8" s="6" t="inlineStr">
        <is>
          <t>WA-1</t>
        </is>
      </c>
      <c r="H8" s="6" t="inlineStr">
        <is>
          <t>Warm Opener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Not Answered</t>
        </is>
      </c>
      <c r="L8" s="6" t="inlineStr">
        <is>
          <t>14/07/2026</t>
        </is>
      </c>
      <c r="M8" s="6" t="inlineStr"/>
      <c r="N8" s="6" t="inlineStr">
        <is>
          <t>No response after 2 days.</t>
        </is>
      </c>
      <c r="O8" s="6" t="inlineStr">
        <is>
          <t>Follow-up WA message</t>
        </is>
      </c>
      <c r="P8" s="6" t="inlineStr">
        <is>
          <t>14/07/2026</t>
        </is>
      </c>
      <c r="Q8" s="6" t="inlineStr">
        <is>
          <t>Taufiq</t>
        </is>
      </c>
      <c r="R8" s="6" t="n">
        <v>5</v>
      </c>
      <c r="S8" s="6" t="inlineStr">
        <is>
          <t>WA Warm Opener Script</t>
        </is>
      </c>
    </row>
    <row r="9" ht="18" customHeight="1">
      <c r="A9" s="7" t="inlineStr">
        <is>
          <t>LOG-004</t>
        </is>
      </c>
      <c r="B9" s="7" t="inlineStr">
        <is>
          <t>18/07/2026</t>
        </is>
      </c>
      <c r="C9" s="7" t="inlineStr">
        <is>
          <t>TDB-003</t>
        </is>
      </c>
      <c r="D9" s="7" t="inlineStr">
        <is>
          <t>Gulf Marble Factory</t>
        </is>
      </c>
      <c r="E9" s="7" t="inlineStr">
        <is>
          <t>Khalid Al Farsi</t>
        </is>
      </c>
      <c r="F9" s="7" t="inlineStr">
        <is>
          <t>Call</t>
        </is>
      </c>
      <c r="G9" s="7" t="inlineStr">
        <is>
          <t>Meeting</t>
        </is>
      </c>
      <c r="H9" s="7" t="inlineStr">
        <is>
          <t>Post-Meeting Call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Completed</t>
        </is>
      </c>
      <c r="L9" s="7" t="inlineStr"/>
      <c r="M9" s="7" t="inlineStr">
        <is>
          <t>Positive → Proposal Sent</t>
        </is>
      </c>
      <c r="N9" s="7" t="inlineStr">
        <is>
          <t>Strong interest in ERP + Odoo. Budget confirmed ~OMR 4,500.</t>
        </is>
      </c>
      <c r="O9" s="7" t="inlineStr">
        <is>
          <t>Send Proposal</t>
        </is>
      </c>
      <c r="P9" s="7" t="inlineStr">
        <is>
          <t>20/07/2026</t>
        </is>
      </c>
      <c r="Q9" s="7" t="inlineStr">
        <is>
          <t>Taufiq</t>
        </is>
      </c>
      <c r="R9" s="7" t="n">
        <v>45</v>
      </c>
      <c r="S9" s="7" t="inlineStr">
        <is>
          <t>Post-Meeting Outcome Log</t>
        </is>
      </c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18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18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18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18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18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18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18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18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18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18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18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18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18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18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18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18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18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18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18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18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18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18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18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18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18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</row>
    <row r="107" ht="18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</row>
    <row r="108" ht="18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</row>
    <row r="109" ht="18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</row>
    <row r="110" ht="18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</row>
    <row r="112" ht="18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 ht="18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</row>
    <row r="116" ht="18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</row>
    <row r="118" ht="18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 ht="18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</row>
    <row r="120" ht="18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</row>
    <row r="121" ht="18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</row>
    <row r="122" ht="18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 ht="18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</row>
    <row r="124" ht="18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</row>
    <row r="125" ht="18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</row>
    <row r="126" ht="18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 ht="18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 ht="18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 ht="18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</row>
    <row r="130" ht="18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 ht="18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</row>
    <row r="132" ht="18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 ht="18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</row>
    <row r="134" ht="18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 ht="18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</row>
    <row r="136" ht="18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 ht="18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</row>
    <row r="138" ht="18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 ht="18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</row>
    <row r="140" ht="18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 ht="18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 ht="18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 ht="18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</row>
    <row r="144" ht="18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 ht="18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</row>
    <row r="146" ht="18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 ht="18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</row>
    <row r="148" ht="18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 ht="18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</row>
    <row r="150" ht="18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 ht="18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</row>
    <row r="152" ht="18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 ht="18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</row>
    <row r="154" ht="18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 ht="18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 ht="18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 ht="18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</row>
    <row r="158" ht="18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 ht="18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</row>
    <row r="160" ht="18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 ht="18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 ht="18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 ht="18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 ht="18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 ht="18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 ht="18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 ht="18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 ht="18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 ht="18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 ht="18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</row>
    <row r="171" ht="18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 ht="18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</row>
    <row r="173" ht="18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 ht="18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</row>
    <row r="175" ht="18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 ht="18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</row>
    <row r="177" ht="18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 ht="18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</row>
    <row r="179" ht="18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 ht="18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</row>
    <row r="181" ht="18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 ht="18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</row>
    <row r="183" ht="18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 ht="18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</row>
    <row r="185" ht="18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 ht="18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</row>
    <row r="187" ht="18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 ht="18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</row>
    <row r="189" ht="18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 ht="18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</row>
    <row r="191" ht="18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 ht="18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</row>
    <row r="193" ht="18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 ht="18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</row>
    <row r="195" ht="18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 ht="18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</row>
    <row r="197" ht="18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 ht="18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</row>
    <row r="199" ht="18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 ht="18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</row>
    <row r="201" ht="18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</row>
    <row r="202" ht="18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</row>
    <row r="203" ht="18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</row>
    <row r="204" ht="18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</row>
    <row r="205" ht="18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</row>
    <row r="206" ht="18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</row>
  </sheetData>
  <mergeCells count="3">
    <mergeCell ref="A2:S2"/>
    <mergeCell ref="A1:S1"/>
    <mergeCell ref="A5:S5"/>
  </mergeCells>
  <dataValidations count="6">
    <dataValidation sqref="F6:F206" showDropDown="0" showInputMessage="1" showErrorMessage="0" allowBlank="1" promptTitle="Select" prompt="Channel" type="list">
      <formula1>"LinkedIn,WhatsApp,Email,Call"</formula1>
    </dataValidation>
    <dataValidation sqref="H6:H206" showDropDown="0" showInputMessage="1" showErrorMessage="0" allowBlank="1" promptTitle="Select" prompt="Message type" type="list">
      <formula1>"Connection Request,Soft Diagnostic,Diagnostic Asset Drop,Local Proof Share,Direct Meeting Invite,Break-Up Message,Long-Term Nurture,WA Warm Opener,WA Follow-Up Response,WA Compliance Checklist,WA Discovery Booking,Cold Email,Case Study Email,Compliance Audit Offer,Discovery Call,Post-Meeting Call,Proposal Follow-Up,Reschedule Call"</formula1>
    </dataValidation>
    <dataValidation sqref="I6:I206" showDropDown="0" showInputMessage="1" showErrorMessage="0" allowBlank="1" promptTitle="Select" prompt="Sent?" type="list">
      <formula1>"Yes,No"</formula1>
    </dataValidation>
    <dataValidation sqref="J6:J206" showDropDown="0" showInputMessage="1" showErrorMessage="0" allowBlank="1" promptTitle="Select" prompt="Response received?" type="list">
      <formula1>"Yes,No"</formula1>
    </dataValidation>
    <dataValidation sqref="K6:K206" showDropDown="0" showInputMessage="1" showErrorMessage="0" allowBlank="1" promptTitle="Select" prompt="Response type" type="list">
      <formula1>"Not Answered,No Reply,No Response,Answered,Responded,Positive,Interested,Needs More Info,Not Interested,Callback Requested,Completed,Cancelled,No Show,Rescheduled"</formula1>
    </dataValidation>
    <dataValidation sqref="M6:M206" showDropDown="0" showInputMessage="1" showErrorMessage="0" allowBlank="1" promptTitle="Select" prompt="Post-meeting branch" type="list">
      <formula1>"Positive → Proposal Sent,Needs More Info → Follow-Up Meeting Scheduled,Not Interested → Close Lost,N/A (Not a Meeting Touch)"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6" customWidth="1" min="5" max="5"/>
    <col width="16" customWidth="1" min="6" max="6"/>
    <col width="10" customWidth="1" min="7" max="7"/>
    <col width="16" customWidth="1" min="8" max="8"/>
    <col width="12" customWidth="1" min="9" max="9"/>
    <col width="14" customWidth="1" min="10" max="10"/>
    <col width="28" customWidth="1" min="11" max="11"/>
    <col width="14" customWidth="1" min="12" max="12"/>
    <col width="16" customWidth="1" min="13" max="13"/>
    <col width="14" customWidth="1" min="14" max="14"/>
    <col width="12" customWidth="1" min="15" max="15"/>
    <col width="14" customWidth="1" min="16" max="16"/>
    <col width="22" customWidth="1" min="17" max="17"/>
    <col width="14" customWidth="1" min="18" max="18"/>
    <col width="22" customWidth="1" min="19" max="19"/>
    <col width="26" customWidth="1" min="20" max="20"/>
    <col width="26" customWidth="1" min="21" max="21"/>
  </cols>
  <sheetData>
    <row r="1" ht="34" customHeight="1">
      <c r="A1" s="1" t="inlineStr">
        <is>
          <t>TADBEER TRANSFORMATIONS │ PIPELINE TRACKER</t>
        </is>
      </c>
    </row>
    <row r="2" ht="16" customHeight="1">
      <c r="A2" s="2" t="inlineStr">
        <is>
          <t>Every active deal. Archive ≠ Closed Lost. Post-Meeting Branch mandatory. Target: OMR 63,000 │ 30 deals │ 151 qualified leads by Dec 2026.</t>
        </is>
      </c>
    </row>
    <row r="3" ht="28" customHeight="1">
      <c r="A3" s="3" t="inlineStr">
        <is>
          <t>Lead ID</t>
        </is>
      </c>
      <c r="B3" s="3" t="inlineStr">
        <is>
          <t>Company Name</t>
        </is>
      </c>
      <c r="C3" s="3" t="inlineStr">
        <is>
          <t>Contact Name</t>
        </is>
      </c>
      <c r="D3" s="3" t="inlineStr">
        <is>
          <t>Service Pillar</t>
        </is>
      </c>
      <c r="E3" s="3" t="inlineStr">
        <is>
          <t>Deal Stage</t>
        </is>
      </c>
      <c r="F3" s="3" t="inlineStr">
        <is>
          <t>Est. Deal Value (OMR)</t>
        </is>
      </c>
      <c r="G3" s="3" t="inlineStr">
        <is>
          <t>Probability %</t>
        </is>
      </c>
      <c r="H3" s="3" t="inlineStr">
        <is>
          <t>Weighted Value (OMR)</t>
        </is>
      </c>
      <c r="I3" s="3" t="inlineStr">
        <is>
          <t>Meeting Date</t>
        </is>
      </c>
      <c r="J3" s="3" t="inlineStr">
        <is>
          <t>Meeting Status</t>
        </is>
      </c>
      <c r="K3" s="3" t="inlineStr">
        <is>
          <t>Post-Meeting Branch</t>
        </is>
      </c>
      <c r="L3" s="3" t="inlineStr">
        <is>
          <t>Proposal Sent Date</t>
        </is>
      </c>
      <c r="M3" s="3" t="inlineStr">
        <is>
          <t>Proposal Response</t>
        </is>
      </c>
      <c r="N3" s="3" t="inlineStr">
        <is>
          <t>Expected Close Date</t>
        </is>
      </c>
      <c r="O3" s="3" t="inlineStr">
        <is>
          <t>Days in Stage</t>
        </is>
      </c>
      <c r="P3" s="3" t="inlineStr">
        <is>
          <t>Last Activity</t>
        </is>
      </c>
      <c r="Q3" s="3" t="inlineStr">
        <is>
          <t>Next Action</t>
        </is>
      </c>
      <c r="R3" s="3" t="inlineStr">
        <is>
          <t>Next Action Date</t>
        </is>
      </c>
      <c r="S3" s="3" t="inlineStr">
        <is>
          <t>Objection</t>
        </is>
      </c>
      <c r="T3" s="3" t="inlineStr">
        <is>
          <t>Objection Rebuttal Used</t>
        </is>
      </c>
      <c r="U3" s="3" t="inlineStr">
        <is>
          <t>Notes</t>
        </is>
      </c>
    </row>
    <row r="4" ht="18" customHeight="1">
      <c r="A4" s="4" t="inlineStr">
        <is>
          <t>Ref DB</t>
        </is>
      </c>
      <c r="B4" s="4" t="inlineStr">
        <is>
          <t>Auto</t>
        </is>
      </c>
      <c r="C4" s="4" t="inlineStr">
        <is>
          <t>Auto</t>
        </is>
      </c>
      <c r="D4" s="4" t="inlineStr">
        <is>
          <t>Pillar</t>
        </is>
      </c>
      <c r="E4" s="4" t="inlineStr">
        <is>
          <t>Stage</t>
        </is>
      </c>
      <c r="F4" s="4" t="inlineStr">
        <is>
          <t>OMR</t>
        </is>
      </c>
      <c r="G4" s="4" t="inlineStr">
        <is>
          <t>Win %</t>
        </is>
      </c>
      <c r="H4" s="4">
        <f>Value × Prob</f>
        <v/>
      </c>
      <c r="I4" s="4" t="inlineStr">
        <is>
          <t>DD/MM/YY</t>
        </is>
      </c>
      <c r="J4" s="4" t="inlineStr">
        <is>
          <t>Status</t>
        </is>
      </c>
      <c r="K4" s="4" t="inlineStr">
        <is>
          <t>3 outcomes only</t>
        </is>
      </c>
      <c r="L4" s="4" t="inlineStr">
        <is>
          <t>DD/MM/YY</t>
        </is>
      </c>
      <c r="M4" s="4" t="inlineStr">
        <is>
          <t>Response</t>
        </is>
      </c>
      <c r="N4" s="4" t="inlineStr">
        <is>
          <t>Target date</t>
        </is>
      </c>
      <c r="O4" s="4" t="inlineStr">
        <is>
          <t>Track stagnation</t>
        </is>
      </c>
      <c r="P4" s="4" t="inlineStr">
        <is>
          <t>Last touch</t>
        </is>
      </c>
      <c r="Q4" s="4" t="inlineStr">
        <is>
          <t>Next step</t>
        </is>
      </c>
      <c r="R4" s="4" t="inlineStr">
        <is>
          <t>DD/MM/YY</t>
        </is>
      </c>
      <c r="S4" s="4" t="inlineStr">
        <is>
          <t>If raised</t>
        </is>
      </c>
      <c r="T4" s="4" t="inlineStr">
        <is>
          <t>Which rebuttal</t>
        </is>
      </c>
      <c r="U4" s="4" t="inlineStr">
        <is>
          <t>Context</t>
        </is>
      </c>
    </row>
    <row r="5" ht="22" customHeight="1">
      <c r="A5" s="9" t="inlineStr">
        <is>
          <t>POST-MEETING BRANCH (col K) — 3 PATHS ONLY: ① Positive → Proposal Sent  ② Needs More Info → Schedule Follow-Up Meeting  ③ Not Interested → Close Lost.  Archive Lead ≠ Close Lost.</t>
        </is>
      </c>
    </row>
    <row r="6" ht="18" customHeight="1">
      <c r="A6" s="6" t="inlineStr">
        <is>
          <t>TDB-001</t>
        </is>
      </c>
      <c r="B6" s="6" t="inlineStr">
        <is>
          <t>Al Rashidi Trading LLC</t>
        </is>
      </c>
      <c r="C6" s="6" t="inlineStr">
        <is>
          <t>Mohammed Al Rashidi</t>
        </is>
      </c>
      <c r="D6" s="6" t="inlineStr">
        <is>
          <t>Software Solutions</t>
        </is>
      </c>
      <c r="E6" s="6" t="inlineStr">
        <is>
          <t>Initial Contact</t>
        </is>
      </c>
      <c r="F6" s="10" t="n">
        <v>2500</v>
      </c>
      <c r="G6" s="11" t="n">
        <v>0.2</v>
      </c>
      <c r="H6" s="10">
        <f>F6*G6</f>
        <v/>
      </c>
      <c r="I6" s="6" t="inlineStr"/>
      <c r="J6" s="6" t="inlineStr"/>
      <c r="K6" s="6" t="inlineStr">
        <is>
          <t>N/A</t>
        </is>
      </c>
      <c r="L6" s="6" t="inlineStr"/>
      <c r="M6" s="6" t="inlineStr"/>
      <c r="N6" s="6" t="inlineStr">
        <is>
          <t>30/09/2026</t>
        </is>
      </c>
      <c r="O6" s="6" t="n">
        <v>3</v>
      </c>
      <c r="P6" s="6" t="inlineStr">
        <is>
          <t>12/07/2026</t>
        </is>
      </c>
      <c r="Q6" s="6" t="inlineStr">
        <is>
          <t>Send Diagnostic Asset</t>
        </is>
      </c>
      <c r="R6" s="6" t="inlineStr">
        <is>
          <t>17/07/2026</t>
        </is>
      </c>
      <c r="S6" s="6" t="inlineStr"/>
      <c r="T6" s="6" t="inlineStr"/>
      <c r="U6" s="6" t="inlineStr">
        <is>
          <t>High interest. Fawtara urgency.</t>
        </is>
      </c>
    </row>
    <row r="7" ht="18" customHeight="1">
      <c r="A7" s="7" t="inlineStr">
        <is>
          <t>TDB-003</t>
        </is>
      </c>
      <c r="B7" s="7" t="inlineStr">
        <is>
          <t>Gulf Marble Factory</t>
        </is>
      </c>
      <c r="C7" s="7" t="inlineStr">
        <is>
          <t>Khalid Al Farsi</t>
        </is>
      </c>
      <c r="D7" s="7" t="inlineStr">
        <is>
          <t>Software Solutions</t>
        </is>
      </c>
      <c r="E7" s="7" t="inlineStr">
        <is>
          <t>Proposal Sent</t>
        </is>
      </c>
      <c r="F7" s="12" t="n">
        <v>5000</v>
      </c>
      <c r="G7" s="13" t="n">
        <v>0.6</v>
      </c>
      <c r="H7" s="12">
        <f>F7*G7</f>
        <v/>
      </c>
      <c r="I7" s="7" t="inlineStr">
        <is>
          <t>18/07/2026</t>
        </is>
      </c>
      <c r="J7" s="7" t="inlineStr">
        <is>
          <t>Completed</t>
        </is>
      </c>
      <c r="K7" s="7" t="inlineStr">
        <is>
          <t>Positive → Proposal Sent</t>
        </is>
      </c>
      <c r="L7" s="7" t="inlineStr">
        <is>
          <t>20/07/2026</t>
        </is>
      </c>
      <c r="M7" s="7" t="inlineStr">
        <is>
          <t>No Response</t>
        </is>
      </c>
      <c r="N7" s="7" t="inlineStr">
        <is>
          <t>31/08/2026</t>
        </is>
      </c>
      <c r="O7" s="7" t="n">
        <v>2</v>
      </c>
      <c r="P7" s="7" t="inlineStr">
        <is>
          <t>20/07/2026</t>
        </is>
      </c>
      <c r="Q7" s="7" t="inlineStr">
        <is>
          <t>Proposal follow-up call</t>
        </is>
      </c>
      <c r="R7" s="7" t="inlineStr">
        <is>
          <t>24/07/2026</t>
        </is>
      </c>
      <c r="S7" s="7" t="inlineStr">
        <is>
          <t>Too Expensive</t>
        </is>
      </c>
      <c r="T7" s="7" t="inlineStr">
        <is>
          <t>Phase 1 scope offered at OMR 2,500</t>
        </is>
      </c>
      <c r="U7" s="7" t="inlineStr">
        <is>
          <t>Referral lead. Proposal sent.</t>
        </is>
      </c>
    </row>
    <row r="8" ht="18" customHeight="1">
      <c r="A8" s="6" t="n"/>
      <c r="B8" s="6" t="n"/>
      <c r="C8" s="6" t="n"/>
      <c r="D8" s="6" t="n"/>
      <c r="E8" s="6" t="n"/>
      <c r="F8" s="10" t="n"/>
      <c r="G8" s="11" t="n"/>
      <c r="H8" s="10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 ht="18" customHeight="1">
      <c r="A9" s="7" t="n"/>
      <c r="B9" s="7" t="n"/>
      <c r="C9" s="7" t="n"/>
      <c r="D9" s="7" t="n"/>
      <c r="E9" s="7" t="n"/>
      <c r="F9" s="12" t="n"/>
      <c r="G9" s="13" t="n"/>
      <c r="H9" s="1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18" customHeight="1">
      <c r="A10" s="6" t="n"/>
      <c r="B10" s="6" t="n"/>
      <c r="C10" s="6" t="n"/>
      <c r="D10" s="6" t="n"/>
      <c r="E10" s="6" t="n"/>
      <c r="F10" s="10" t="n"/>
      <c r="G10" s="11" t="n"/>
      <c r="H10" s="10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 ht="18" customHeight="1">
      <c r="A11" s="7" t="n"/>
      <c r="B11" s="7" t="n"/>
      <c r="C11" s="7" t="n"/>
      <c r="D11" s="7" t="n"/>
      <c r="E11" s="7" t="n"/>
      <c r="F11" s="12" t="n"/>
      <c r="G11" s="13" t="n"/>
      <c r="H11" s="12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18" customHeight="1">
      <c r="A12" s="6" t="n"/>
      <c r="B12" s="6" t="n"/>
      <c r="C12" s="6" t="n"/>
      <c r="D12" s="6" t="n"/>
      <c r="E12" s="6" t="n"/>
      <c r="F12" s="10" t="n"/>
      <c r="G12" s="11" t="n"/>
      <c r="H12" s="10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 ht="18" customHeight="1">
      <c r="A13" s="7" t="n"/>
      <c r="B13" s="7" t="n"/>
      <c r="C13" s="7" t="n"/>
      <c r="D13" s="7" t="n"/>
      <c r="E13" s="7" t="n"/>
      <c r="F13" s="12" t="n"/>
      <c r="G13" s="13" t="n"/>
      <c r="H13" s="12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18" customHeight="1">
      <c r="A14" s="6" t="n"/>
      <c r="B14" s="6" t="n"/>
      <c r="C14" s="6" t="n"/>
      <c r="D14" s="6" t="n"/>
      <c r="E14" s="6" t="n"/>
      <c r="F14" s="10" t="n"/>
      <c r="G14" s="11" t="n"/>
      <c r="H14" s="10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 ht="18" customHeight="1">
      <c r="A15" s="7" t="n"/>
      <c r="B15" s="7" t="n"/>
      <c r="C15" s="7" t="n"/>
      <c r="D15" s="7" t="n"/>
      <c r="E15" s="7" t="n"/>
      <c r="F15" s="12" t="n"/>
      <c r="G15" s="13" t="n"/>
      <c r="H15" s="12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8" customHeight="1">
      <c r="A16" s="6" t="n"/>
      <c r="B16" s="6" t="n"/>
      <c r="C16" s="6" t="n"/>
      <c r="D16" s="6" t="n"/>
      <c r="E16" s="6" t="n"/>
      <c r="F16" s="10" t="n"/>
      <c r="G16" s="11" t="n"/>
      <c r="H16" s="10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 ht="18" customHeight="1">
      <c r="A17" s="7" t="n"/>
      <c r="B17" s="7" t="n"/>
      <c r="C17" s="7" t="n"/>
      <c r="D17" s="7" t="n"/>
      <c r="E17" s="7" t="n"/>
      <c r="F17" s="12" t="n"/>
      <c r="G17" s="13" t="n"/>
      <c r="H17" s="12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18" customHeight="1">
      <c r="A18" s="6" t="n"/>
      <c r="B18" s="6" t="n"/>
      <c r="C18" s="6" t="n"/>
      <c r="D18" s="6" t="n"/>
      <c r="E18" s="6" t="n"/>
      <c r="F18" s="10" t="n"/>
      <c r="G18" s="11" t="n"/>
      <c r="H18" s="10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 ht="18" customHeight="1">
      <c r="A19" s="7" t="n"/>
      <c r="B19" s="7" t="n"/>
      <c r="C19" s="7" t="n"/>
      <c r="D19" s="7" t="n"/>
      <c r="E19" s="7" t="n"/>
      <c r="F19" s="12" t="n"/>
      <c r="G19" s="13" t="n"/>
      <c r="H19" s="12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18" customHeight="1">
      <c r="A20" s="6" t="n"/>
      <c r="B20" s="6" t="n"/>
      <c r="C20" s="6" t="n"/>
      <c r="D20" s="6" t="n"/>
      <c r="E20" s="6" t="n"/>
      <c r="F20" s="10" t="n"/>
      <c r="G20" s="11" t="n"/>
      <c r="H20" s="10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 ht="18" customHeight="1">
      <c r="A21" s="7" t="n"/>
      <c r="B21" s="7" t="n"/>
      <c r="C21" s="7" t="n"/>
      <c r="D21" s="7" t="n"/>
      <c r="E21" s="7" t="n"/>
      <c r="F21" s="12" t="n"/>
      <c r="G21" s="13" t="n"/>
      <c r="H21" s="12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18" customHeight="1">
      <c r="A22" s="6" t="n"/>
      <c r="B22" s="6" t="n"/>
      <c r="C22" s="6" t="n"/>
      <c r="D22" s="6" t="n"/>
      <c r="E22" s="6" t="n"/>
      <c r="F22" s="10" t="n"/>
      <c r="G22" s="11" t="n"/>
      <c r="H22" s="10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 ht="18" customHeight="1">
      <c r="A23" s="7" t="n"/>
      <c r="B23" s="7" t="n"/>
      <c r="C23" s="7" t="n"/>
      <c r="D23" s="7" t="n"/>
      <c r="E23" s="7" t="n"/>
      <c r="F23" s="12" t="n"/>
      <c r="G23" s="13" t="n"/>
      <c r="H23" s="12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8" customHeight="1">
      <c r="A24" s="6" t="n"/>
      <c r="B24" s="6" t="n"/>
      <c r="C24" s="6" t="n"/>
      <c r="D24" s="6" t="n"/>
      <c r="E24" s="6" t="n"/>
      <c r="F24" s="10" t="n"/>
      <c r="G24" s="11" t="n"/>
      <c r="H24" s="10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 ht="18" customHeight="1">
      <c r="A25" s="7" t="n"/>
      <c r="B25" s="7" t="n"/>
      <c r="C25" s="7" t="n"/>
      <c r="D25" s="7" t="n"/>
      <c r="E25" s="7" t="n"/>
      <c r="F25" s="12" t="n"/>
      <c r="G25" s="13" t="n"/>
      <c r="H25" s="12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18" customHeight="1">
      <c r="A26" s="6" t="n"/>
      <c r="B26" s="6" t="n"/>
      <c r="C26" s="6" t="n"/>
      <c r="D26" s="6" t="n"/>
      <c r="E26" s="6" t="n"/>
      <c r="F26" s="10" t="n"/>
      <c r="G26" s="11" t="n"/>
      <c r="H26" s="10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 ht="18" customHeight="1">
      <c r="A27" s="7" t="n"/>
      <c r="B27" s="7" t="n"/>
      <c r="C27" s="7" t="n"/>
      <c r="D27" s="7" t="n"/>
      <c r="E27" s="7" t="n"/>
      <c r="F27" s="12" t="n"/>
      <c r="G27" s="13" t="n"/>
      <c r="H27" s="12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8" customHeight="1">
      <c r="A28" s="6" t="n"/>
      <c r="B28" s="6" t="n"/>
      <c r="C28" s="6" t="n"/>
      <c r="D28" s="6" t="n"/>
      <c r="E28" s="6" t="n"/>
      <c r="F28" s="10" t="n"/>
      <c r="G28" s="11" t="n"/>
      <c r="H28" s="10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 ht="18" customHeight="1">
      <c r="A29" s="7" t="n"/>
      <c r="B29" s="7" t="n"/>
      <c r="C29" s="7" t="n"/>
      <c r="D29" s="7" t="n"/>
      <c r="E29" s="7" t="n"/>
      <c r="F29" s="12" t="n"/>
      <c r="G29" s="13" t="n"/>
      <c r="H29" s="12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8" customHeight="1">
      <c r="A30" s="6" t="n"/>
      <c r="B30" s="6" t="n"/>
      <c r="C30" s="6" t="n"/>
      <c r="D30" s="6" t="n"/>
      <c r="E30" s="6" t="n"/>
      <c r="F30" s="10" t="n"/>
      <c r="G30" s="11" t="n"/>
      <c r="H30" s="10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 ht="18" customHeight="1">
      <c r="A31" s="7" t="n"/>
      <c r="B31" s="7" t="n"/>
      <c r="C31" s="7" t="n"/>
      <c r="D31" s="7" t="n"/>
      <c r="E31" s="7" t="n"/>
      <c r="F31" s="12" t="n"/>
      <c r="G31" s="13" t="n"/>
      <c r="H31" s="12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18" customHeight="1">
      <c r="A32" s="6" t="n"/>
      <c r="B32" s="6" t="n"/>
      <c r="C32" s="6" t="n"/>
      <c r="D32" s="6" t="n"/>
      <c r="E32" s="6" t="n"/>
      <c r="F32" s="10" t="n"/>
      <c r="G32" s="11" t="n"/>
      <c r="H32" s="10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 ht="18" customHeight="1">
      <c r="A33" s="7" t="n"/>
      <c r="B33" s="7" t="n"/>
      <c r="C33" s="7" t="n"/>
      <c r="D33" s="7" t="n"/>
      <c r="E33" s="7" t="n"/>
      <c r="F33" s="12" t="n"/>
      <c r="G33" s="13" t="n"/>
      <c r="H33" s="12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18" customHeight="1">
      <c r="A34" s="6" t="n"/>
      <c r="B34" s="6" t="n"/>
      <c r="C34" s="6" t="n"/>
      <c r="D34" s="6" t="n"/>
      <c r="E34" s="6" t="n"/>
      <c r="F34" s="10" t="n"/>
      <c r="G34" s="11" t="n"/>
      <c r="H34" s="10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 ht="18" customHeight="1">
      <c r="A35" s="7" t="n"/>
      <c r="B35" s="7" t="n"/>
      <c r="C35" s="7" t="n"/>
      <c r="D35" s="7" t="n"/>
      <c r="E35" s="7" t="n"/>
      <c r="F35" s="12" t="n"/>
      <c r="G35" s="13" t="n"/>
      <c r="H35" s="12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18" customHeight="1">
      <c r="A36" s="6" t="n"/>
      <c r="B36" s="6" t="n"/>
      <c r="C36" s="6" t="n"/>
      <c r="D36" s="6" t="n"/>
      <c r="E36" s="6" t="n"/>
      <c r="F36" s="10" t="n"/>
      <c r="G36" s="11" t="n"/>
      <c r="H36" s="10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 ht="18" customHeight="1">
      <c r="A37" s="7" t="n"/>
      <c r="B37" s="7" t="n"/>
      <c r="C37" s="7" t="n"/>
      <c r="D37" s="7" t="n"/>
      <c r="E37" s="7" t="n"/>
      <c r="F37" s="12" t="n"/>
      <c r="G37" s="13" t="n"/>
      <c r="H37" s="12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18" customHeight="1">
      <c r="A38" s="6" t="n"/>
      <c r="B38" s="6" t="n"/>
      <c r="C38" s="6" t="n"/>
      <c r="D38" s="6" t="n"/>
      <c r="E38" s="6" t="n"/>
      <c r="F38" s="10" t="n"/>
      <c r="G38" s="11" t="n"/>
      <c r="H38" s="10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 ht="18" customHeight="1">
      <c r="A39" s="7" t="n"/>
      <c r="B39" s="7" t="n"/>
      <c r="C39" s="7" t="n"/>
      <c r="D39" s="7" t="n"/>
      <c r="E39" s="7" t="n"/>
      <c r="F39" s="12" t="n"/>
      <c r="G39" s="13" t="n"/>
      <c r="H39" s="12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18" customHeight="1">
      <c r="A40" s="6" t="n"/>
      <c r="B40" s="6" t="n"/>
      <c r="C40" s="6" t="n"/>
      <c r="D40" s="6" t="n"/>
      <c r="E40" s="6" t="n"/>
      <c r="F40" s="10" t="n"/>
      <c r="G40" s="11" t="n"/>
      <c r="H40" s="10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 ht="18" customHeight="1">
      <c r="A41" s="7" t="n"/>
      <c r="B41" s="7" t="n"/>
      <c r="C41" s="7" t="n"/>
      <c r="D41" s="7" t="n"/>
      <c r="E41" s="7" t="n"/>
      <c r="F41" s="12" t="n"/>
      <c r="G41" s="13" t="n"/>
      <c r="H41" s="12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18" customHeight="1">
      <c r="A42" s="6" t="n"/>
      <c r="B42" s="6" t="n"/>
      <c r="C42" s="6" t="n"/>
      <c r="D42" s="6" t="n"/>
      <c r="E42" s="6" t="n"/>
      <c r="F42" s="10" t="n"/>
      <c r="G42" s="11" t="n"/>
      <c r="H42" s="10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 ht="18" customHeight="1">
      <c r="A43" s="7" t="n"/>
      <c r="B43" s="7" t="n"/>
      <c r="C43" s="7" t="n"/>
      <c r="D43" s="7" t="n"/>
      <c r="E43" s="7" t="n"/>
      <c r="F43" s="12" t="n"/>
      <c r="G43" s="13" t="n"/>
      <c r="H43" s="12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18" customHeight="1">
      <c r="A44" s="6" t="n"/>
      <c r="B44" s="6" t="n"/>
      <c r="C44" s="6" t="n"/>
      <c r="D44" s="6" t="n"/>
      <c r="E44" s="6" t="n"/>
      <c r="F44" s="10" t="n"/>
      <c r="G44" s="11" t="n"/>
      <c r="H44" s="10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 ht="18" customHeight="1">
      <c r="A45" s="7" t="n"/>
      <c r="B45" s="7" t="n"/>
      <c r="C45" s="7" t="n"/>
      <c r="D45" s="7" t="n"/>
      <c r="E45" s="7" t="n"/>
      <c r="F45" s="12" t="n"/>
      <c r="G45" s="13" t="n"/>
      <c r="H45" s="12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18" customHeight="1">
      <c r="A46" s="6" t="n"/>
      <c r="B46" s="6" t="n"/>
      <c r="C46" s="6" t="n"/>
      <c r="D46" s="6" t="n"/>
      <c r="E46" s="6" t="n"/>
      <c r="F46" s="10" t="n"/>
      <c r="G46" s="11" t="n"/>
      <c r="H46" s="10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 ht="18" customHeight="1">
      <c r="A47" s="7" t="n"/>
      <c r="B47" s="7" t="n"/>
      <c r="C47" s="7" t="n"/>
      <c r="D47" s="7" t="n"/>
      <c r="E47" s="7" t="n"/>
      <c r="F47" s="12" t="n"/>
      <c r="G47" s="13" t="n"/>
      <c r="H47" s="12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8" customHeight="1">
      <c r="A48" s="6" t="n"/>
      <c r="B48" s="6" t="n"/>
      <c r="C48" s="6" t="n"/>
      <c r="D48" s="6" t="n"/>
      <c r="E48" s="6" t="n"/>
      <c r="F48" s="10" t="n"/>
      <c r="G48" s="11" t="n"/>
      <c r="H48" s="10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 ht="18" customHeight="1">
      <c r="A49" s="7" t="n"/>
      <c r="B49" s="7" t="n"/>
      <c r="C49" s="7" t="n"/>
      <c r="D49" s="7" t="n"/>
      <c r="E49" s="7" t="n"/>
      <c r="F49" s="12" t="n"/>
      <c r="G49" s="13" t="n"/>
      <c r="H49" s="12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18" customHeight="1">
      <c r="A50" s="6" t="n"/>
      <c r="B50" s="6" t="n"/>
      <c r="C50" s="6" t="n"/>
      <c r="D50" s="6" t="n"/>
      <c r="E50" s="6" t="n"/>
      <c r="F50" s="10" t="n"/>
      <c r="G50" s="11" t="n"/>
      <c r="H50" s="10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 ht="18" customHeight="1">
      <c r="A51" s="7" t="n"/>
      <c r="B51" s="7" t="n"/>
      <c r="C51" s="7" t="n"/>
      <c r="D51" s="7" t="n"/>
      <c r="E51" s="7" t="n"/>
      <c r="F51" s="12" t="n"/>
      <c r="G51" s="13" t="n"/>
      <c r="H51" s="12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18" customHeight="1">
      <c r="A52" s="6" t="n"/>
      <c r="B52" s="6" t="n"/>
      <c r="C52" s="6" t="n"/>
      <c r="D52" s="6" t="n"/>
      <c r="E52" s="6" t="n"/>
      <c r="F52" s="10" t="n"/>
      <c r="G52" s="11" t="n"/>
      <c r="H52" s="10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 ht="18" customHeight="1">
      <c r="A53" s="7" t="n"/>
      <c r="B53" s="7" t="n"/>
      <c r="C53" s="7" t="n"/>
      <c r="D53" s="7" t="n"/>
      <c r="E53" s="7" t="n"/>
      <c r="F53" s="12" t="n"/>
      <c r="G53" s="13" t="n"/>
      <c r="H53" s="12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18" customHeight="1">
      <c r="A54" s="6" t="n"/>
      <c r="B54" s="6" t="n"/>
      <c r="C54" s="6" t="n"/>
      <c r="D54" s="6" t="n"/>
      <c r="E54" s="6" t="n"/>
      <c r="F54" s="10" t="n"/>
      <c r="G54" s="11" t="n"/>
      <c r="H54" s="10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 ht="18" customHeight="1">
      <c r="A55" s="7" t="n"/>
      <c r="B55" s="7" t="n"/>
      <c r="C55" s="7" t="n"/>
      <c r="D55" s="7" t="n"/>
      <c r="E55" s="7" t="n"/>
      <c r="F55" s="12" t="n"/>
      <c r="G55" s="13" t="n"/>
      <c r="H55" s="12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18" customHeight="1">
      <c r="A56" s="6" t="n"/>
      <c r="B56" s="6" t="n"/>
      <c r="C56" s="6" t="n"/>
      <c r="D56" s="6" t="n"/>
      <c r="E56" s="6" t="n"/>
      <c r="F56" s="10" t="n"/>
      <c r="G56" s="11" t="n"/>
      <c r="H56" s="10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 ht="18" customHeight="1">
      <c r="A57" s="7" t="n"/>
      <c r="B57" s="7" t="n"/>
      <c r="C57" s="7" t="n"/>
      <c r="D57" s="7" t="n"/>
      <c r="E57" s="7" t="n"/>
      <c r="F57" s="12" t="n"/>
      <c r="G57" s="13" t="n"/>
      <c r="H57" s="12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18" customHeight="1">
      <c r="A58" s="6" t="n"/>
      <c r="B58" s="6" t="n"/>
      <c r="C58" s="6" t="n"/>
      <c r="D58" s="6" t="n"/>
      <c r="E58" s="6" t="n"/>
      <c r="F58" s="10" t="n"/>
      <c r="G58" s="11" t="n"/>
      <c r="H58" s="10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 ht="18" customHeight="1">
      <c r="A59" s="7" t="n"/>
      <c r="B59" s="7" t="n"/>
      <c r="C59" s="7" t="n"/>
      <c r="D59" s="7" t="n"/>
      <c r="E59" s="7" t="n"/>
      <c r="F59" s="12" t="n"/>
      <c r="G59" s="13" t="n"/>
      <c r="H59" s="12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18" customHeight="1">
      <c r="A60" s="6" t="n"/>
      <c r="B60" s="6" t="n"/>
      <c r="C60" s="6" t="n"/>
      <c r="D60" s="6" t="n"/>
      <c r="E60" s="6" t="n"/>
      <c r="F60" s="10" t="n"/>
      <c r="G60" s="11" t="n"/>
      <c r="H60" s="10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 ht="18" customHeight="1">
      <c r="A61" s="7" t="n"/>
      <c r="B61" s="7" t="n"/>
      <c r="C61" s="7" t="n"/>
      <c r="D61" s="7" t="n"/>
      <c r="E61" s="7" t="n"/>
      <c r="F61" s="12" t="n"/>
      <c r="G61" s="13" t="n"/>
      <c r="H61" s="12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18" customHeight="1">
      <c r="A62" s="6" t="n"/>
      <c r="B62" s="6" t="n"/>
      <c r="C62" s="6" t="n"/>
      <c r="D62" s="6" t="n"/>
      <c r="E62" s="6" t="n"/>
      <c r="F62" s="10" t="n"/>
      <c r="G62" s="11" t="n"/>
      <c r="H62" s="10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 ht="18" customHeight="1">
      <c r="A63" s="7" t="n"/>
      <c r="B63" s="7" t="n"/>
      <c r="C63" s="7" t="n"/>
      <c r="D63" s="7" t="n"/>
      <c r="E63" s="7" t="n"/>
      <c r="F63" s="12" t="n"/>
      <c r="G63" s="13" t="n"/>
      <c r="H63" s="12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18" customHeight="1">
      <c r="A64" s="6" t="n"/>
      <c r="B64" s="6" t="n"/>
      <c r="C64" s="6" t="n"/>
      <c r="D64" s="6" t="n"/>
      <c r="E64" s="6" t="n"/>
      <c r="F64" s="10" t="n"/>
      <c r="G64" s="11" t="n"/>
      <c r="H64" s="10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 ht="18" customHeight="1">
      <c r="A65" s="7" t="n"/>
      <c r="B65" s="7" t="n"/>
      <c r="C65" s="7" t="n"/>
      <c r="D65" s="7" t="n"/>
      <c r="E65" s="7" t="n"/>
      <c r="F65" s="12" t="n"/>
      <c r="G65" s="13" t="n"/>
      <c r="H65" s="12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18" customHeight="1">
      <c r="A66" s="6" t="n"/>
      <c r="B66" s="6" t="n"/>
      <c r="C66" s="6" t="n"/>
      <c r="D66" s="6" t="n"/>
      <c r="E66" s="6" t="n"/>
      <c r="F66" s="10" t="n"/>
      <c r="G66" s="11" t="n"/>
      <c r="H66" s="10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 ht="18" customHeight="1">
      <c r="A67" s="7" t="n"/>
      <c r="B67" s="7" t="n"/>
      <c r="C67" s="7" t="n"/>
      <c r="D67" s="7" t="n"/>
      <c r="E67" s="7" t="n"/>
      <c r="F67" s="12" t="n"/>
      <c r="G67" s="13" t="n"/>
      <c r="H67" s="12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18" customHeight="1">
      <c r="A68" s="6" t="n"/>
      <c r="B68" s="6" t="n"/>
      <c r="C68" s="6" t="n"/>
      <c r="D68" s="6" t="n"/>
      <c r="E68" s="6" t="n"/>
      <c r="F68" s="10" t="n"/>
      <c r="G68" s="11" t="n"/>
      <c r="H68" s="10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 ht="18" customHeight="1">
      <c r="A69" s="7" t="n"/>
      <c r="B69" s="7" t="n"/>
      <c r="C69" s="7" t="n"/>
      <c r="D69" s="7" t="n"/>
      <c r="E69" s="7" t="n"/>
      <c r="F69" s="12" t="n"/>
      <c r="G69" s="13" t="n"/>
      <c r="H69" s="12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18" customHeight="1">
      <c r="A70" s="6" t="n"/>
      <c r="B70" s="6" t="n"/>
      <c r="C70" s="6" t="n"/>
      <c r="D70" s="6" t="n"/>
      <c r="E70" s="6" t="n"/>
      <c r="F70" s="10" t="n"/>
      <c r="G70" s="11" t="n"/>
      <c r="H70" s="10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 ht="18" customHeight="1">
      <c r="A71" s="7" t="n"/>
      <c r="B71" s="7" t="n"/>
      <c r="C71" s="7" t="n"/>
      <c r="D71" s="7" t="n"/>
      <c r="E71" s="7" t="n"/>
      <c r="F71" s="12" t="n"/>
      <c r="G71" s="13" t="n"/>
      <c r="H71" s="12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8" customHeight="1">
      <c r="A72" s="6" t="n"/>
      <c r="B72" s="6" t="n"/>
      <c r="C72" s="6" t="n"/>
      <c r="D72" s="6" t="n"/>
      <c r="E72" s="6" t="n"/>
      <c r="F72" s="10" t="n"/>
      <c r="G72" s="11" t="n"/>
      <c r="H72" s="10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 ht="18" customHeight="1">
      <c r="A73" s="7" t="n"/>
      <c r="B73" s="7" t="n"/>
      <c r="C73" s="7" t="n"/>
      <c r="D73" s="7" t="n"/>
      <c r="E73" s="7" t="n"/>
      <c r="F73" s="12" t="n"/>
      <c r="G73" s="13" t="n"/>
      <c r="H73" s="12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18" customHeight="1">
      <c r="A74" s="6" t="n"/>
      <c r="B74" s="6" t="n"/>
      <c r="C74" s="6" t="n"/>
      <c r="D74" s="6" t="n"/>
      <c r="E74" s="6" t="n"/>
      <c r="F74" s="10" t="n"/>
      <c r="G74" s="11" t="n"/>
      <c r="H74" s="10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 ht="18" customHeight="1">
      <c r="A75" s="7" t="n"/>
      <c r="B75" s="7" t="n"/>
      <c r="C75" s="7" t="n"/>
      <c r="D75" s="7" t="n"/>
      <c r="E75" s="7" t="n"/>
      <c r="F75" s="12" t="n"/>
      <c r="G75" s="13" t="n"/>
      <c r="H75" s="12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18" customHeight="1">
      <c r="A76" s="6" t="n"/>
      <c r="B76" s="6" t="n"/>
      <c r="C76" s="6" t="n"/>
      <c r="D76" s="6" t="n"/>
      <c r="E76" s="6" t="n"/>
      <c r="F76" s="10" t="n"/>
      <c r="G76" s="11" t="n"/>
      <c r="H76" s="10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 ht="18" customHeight="1">
      <c r="A77" s="7" t="n"/>
      <c r="B77" s="7" t="n"/>
      <c r="C77" s="7" t="n"/>
      <c r="D77" s="7" t="n"/>
      <c r="E77" s="7" t="n"/>
      <c r="F77" s="12" t="n"/>
      <c r="G77" s="13" t="n"/>
      <c r="H77" s="12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18" customHeight="1">
      <c r="A78" s="6" t="n"/>
      <c r="B78" s="6" t="n"/>
      <c r="C78" s="6" t="n"/>
      <c r="D78" s="6" t="n"/>
      <c r="E78" s="6" t="n"/>
      <c r="F78" s="10" t="n"/>
      <c r="G78" s="11" t="n"/>
      <c r="H78" s="10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 ht="18" customHeight="1">
      <c r="A79" s="7" t="n"/>
      <c r="B79" s="7" t="n"/>
      <c r="C79" s="7" t="n"/>
      <c r="D79" s="7" t="n"/>
      <c r="E79" s="7" t="n"/>
      <c r="F79" s="12" t="n"/>
      <c r="G79" s="13" t="n"/>
      <c r="H79" s="12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8" customHeight="1">
      <c r="A80" s="6" t="n"/>
      <c r="B80" s="6" t="n"/>
      <c r="C80" s="6" t="n"/>
      <c r="D80" s="6" t="n"/>
      <c r="E80" s="6" t="n"/>
      <c r="F80" s="10" t="n"/>
      <c r="G80" s="11" t="n"/>
      <c r="H80" s="10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 ht="18" customHeight="1">
      <c r="A81" s="7" t="n"/>
      <c r="B81" s="7" t="n"/>
      <c r="C81" s="7" t="n"/>
      <c r="D81" s="7" t="n"/>
      <c r="E81" s="7" t="n"/>
      <c r="F81" s="12" t="n"/>
      <c r="G81" s="13" t="n"/>
      <c r="H81" s="12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18" customHeight="1">
      <c r="A82" s="6" t="n"/>
      <c r="B82" s="6" t="n"/>
      <c r="C82" s="6" t="n"/>
      <c r="D82" s="6" t="n"/>
      <c r="E82" s="6" t="n"/>
      <c r="F82" s="10" t="n"/>
      <c r="G82" s="11" t="n"/>
      <c r="H82" s="10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 ht="18" customHeight="1">
      <c r="A83" s="7" t="n"/>
      <c r="B83" s="7" t="n"/>
      <c r="C83" s="7" t="n"/>
      <c r="D83" s="7" t="n"/>
      <c r="E83" s="7" t="n"/>
      <c r="F83" s="12" t="n"/>
      <c r="G83" s="13" t="n"/>
      <c r="H83" s="12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18" customHeight="1">
      <c r="A84" s="6" t="n"/>
      <c r="B84" s="6" t="n"/>
      <c r="C84" s="6" t="n"/>
      <c r="D84" s="6" t="n"/>
      <c r="E84" s="6" t="n"/>
      <c r="F84" s="10" t="n"/>
      <c r="G84" s="11" t="n"/>
      <c r="H84" s="10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 ht="18" customHeight="1">
      <c r="A85" s="7" t="n"/>
      <c r="B85" s="7" t="n"/>
      <c r="C85" s="7" t="n"/>
      <c r="D85" s="7" t="n"/>
      <c r="E85" s="7" t="n"/>
      <c r="F85" s="12" t="n"/>
      <c r="G85" s="13" t="n"/>
      <c r="H85" s="12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18" customHeight="1">
      <c r="A86" s="6" t="n"/>
      <c r="B86" s="6" t="n"/>
      <c r="C86" s="6" t="n"/>
      <c r="D86" s="6" t="n"/>
      <c r="E86" s="6" t="n"/>
      <c r="F86" s="10" t="n"/>
      <c r="G86" s="11" t="n"/>
      <c r="H86" s="10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 ht="18" customHeight="1">
      <c r="A87" s="7" t="n"/>
      <c r="B87" s="7" t="n"/>
      <c r="C87" s="7" t="n"/>
      <c r="D87" s="7" t="n"/>
      <c r="E87" s="7" t="n"/>
      <c r="F87" s="12" t="n"/>
      <c r="G87" s="13" t="n"/>
      <c r="H87" s="12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18" customHeight="1">
      <c r="A88" s="6" t="n"/>
      <c r="B88" s="6" t="n"/>
      <c r="C88" s="6" t="n"/>
      <c r="D88" s="6" t="n"/>
      <c r="E88" s="6" t="n"/>
      <c r="F88" s="10" t="n"/>
      <c r="G88" s="11" t="n"/>
      <c r="H88" s="10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 ht="18" customHeight="1">
      <c r="A89" s="7" t="n"/>
      <c r="B89" s="7" t="n"/>
      <c r="C89" s="7" t="n"/>
      <c r="D89" s="7" t="n"/>
      <c r="E89" s="7" t="n"/>
      <c r="F89" s="12" t="n"/>
      <c r="G89" s="13" t="n"/>
      <c r="H89" s="12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18" customHeight="1">
      <c r="A90" s="6" t="n"/>
      <c r="B90" s="6" t="n"/>
      <c r="C90" s="6" t="n"/>
      <c r="D90" s="6" t="n"/>
      <c r="E90" s="6" t="n"/>
      <c r="F90" s="10" t="n"/>
      <c r="G90" s="11" t="n"/>
      <c r="H90" s="10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 ht="18" customHeight="1">
      <c r="A91" s="7" t="n"/>
      <c r="B91" s="7" t="n"/>
      <c r="C91" s="7" t="n"/>
      <c r="D91" s="7" t="n"/>
      <c r="E91" s="7" t="n"/>
      <c r="F91" s="12" t="n"/>
      <c r="G91" s="13" t="n"/>
      <c r="H91" s="12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18" customHeight="1">
      <c r="A92" s="6" t="n"/>
      <c r="B92" s="6" t="n"/>
      <c r="C92" s="6" t="n"/>
      <c r="D92" s="6" t="n"/>
      <c r="E92" s="6" t="n"/>
      <c r="F92" s="10" t="n"/>
      <c r="G92" s="11" t="n"/>
      <c r="H92" s="10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</row>
    <row r="93" ht="18" customHeight="1">
      <c r="A93" s="7" t="n"/>
      <c r="B93" s="7" t="n"/>
      <c r="C93" s="7" t="n"/>
      <c r="D93" s="7" t="n"/>
      <c r="E93" s="7" t="n"/>
      <c r="F93" s="12" t="n"/>
      <c r="G93" s="13" t="n"/>
      <c r="H93" s="12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18" customHeight="1">
      <c r="A94" s="6" t="n"/>
      <c r="B94" s="6" t="n"/>
      <c r="C94" s="6" t="n"/>
      <c r="D94" s="6" t="n"/>
      <c r="E94" s="6" t="n"/>
      <c r="F94" s="10" t="n"/>
      <c r="G94" s="11" t="n"/>
      <c r="H94" s="10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 ht="18" customHeight="1">
      <c r="A95" s="7" t="n"/>
      <c r="B95" s="7" t="n"/>
      <c r="C95" s="7" t="n"/>
      <c r="D95" s="7" t="n"/>
      <c r="E95" s="7" t="n"/>
      <c r="F95" s="12" t="n"/>
      <c r="G95" s="13" t="n"/>
      <c r="H95" s="12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18" customHeight="1">
      <c r="A96" s="6" t="n"/>
      <c r="B96" s="6" t="n"/>
      <c r="C96" s="6" t="n"/>
      <c r="D96" s="6" t="n"/>
      <c r="E96" s="6" t="n"/>
      <c r="F96" s="10" t="n"/>
      <c r="G96" s="11" t="n"/>
      <c r="H96" s="10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</row>
    <row r="97" ht="18" customHeight="1">
      <c r="A97" s="7" t="n"/>
      <c r="B97" s="7" t="n"/>
      <c r="C97" s="7" t="n"/>
      <c r="D97" s="7" t="n"/>
      <c r="E97" s="7" t="n"/>
      <c r="F97" s="12" t="n"/>
      <c r="G97" s="13" t="n"/>
      <c r="H97" s="12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18" customHeight="1">
      <c r="A98" s="6" t="n"/>
      <c r="B98" s="6" t="n"/>
      <c r="C98" s="6" t="n"/>
      <c r="D98" s="6" t="n"/>
      <c r="E98" s="6" t="n"/>
      <c r="F98" s="10" t="n"/>
      <c r="G98" s="11" t="n"/>
      <c r="H98" s="10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</row>
    <row r="99" ht="18" customHeight="1">
      <c r="A99" s="7" t="n"/>
      <c r="B99" s="7" t="n"/>
      <c r="C99" s="7" t="n"/>
      <c r="D99" s="7" t="n"/>
      <c r="E99" s="7" t="n"/>
      <c r="F99" s="12" t="n"/>
      <c r="G99" s="13" t="n"/>
      <c r="H99" s="12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18" customHeight="1">
      <c r="A100" s="6" t="n"/>
      <c r="B100" s="6" t="n"/>
      <c r="C100" s="6" t="n"/>
      <c r="D100" s="6" t="n"/>
      <c r="E100" s="6" t="n"/>
      <c r="F100" s="10" t="n"/>
      <c r="G100" s="11" t="n"/>
      <c r="H100" s="10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</row>
    <row r="101" ht="18" customHeight="1">
      <c r="A101" s="7" t="n"/>
      <c r="B101" s="7" t="n"/>
      <c r="C101" s="7" t="n"/>
      <c r="D101" s="7" t="n"/>
      <c r="E101" s="7" t="n"/>
      <c r="F101" s="12" t="n"/>
      <c r="G101" s="13" t="n"/>
      <c r="H101" s="12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18" customHeight="1">
      <c r="A102" s="6" t="n"/>
      <c r="B102" s="6" t="n"/>
      <c r="C102" s="6" t="n"/>
      <c r="D102" s="6" t="n"/>
      <c r="E102" s="6" t="n"/>
      <c r="F102" s="10" t="n"/>
      <c r="G102" s="11" t="n"/>
      <c r="H102" s="10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</row>
    <row r="103" ht="18" customHeight="1">
      <c r="A103" s="7" t="n"/>
      <c r="B103" s="7" t="n"/>
      <c r="C103" s="7" t="n"/>
      <c r="D103" s="7" t="n"/>
      <c r="E103" s="7" t="n"/>
      <c r="F103" s="12" t="n"/>
      <c r="G103" s="13" t="n"/>
      <c r="H103" s="12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18" customHeight="1">
      <c r="A104" s="6" t="n"/>
      <c r="B104" s="6" t="n"/>
      <c r="C104" s="6" t="n"/>
      <c r="D104" s="6" t="n"/>
      <c r="E104" s="6" t="n"/>
      <c r="F104" s="10" t="n"/>
      <c r="G104" s="11" t="n"/>
      <c r="H104" s="10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</row>
    <row r="105" ht="18" customHeight="1">
      <c r="A105" s="7" t="n"/>
      <c r="B105" s="7" t="n"/>
      <c r="C105" s="7" t="n"/>
      <c r="D105" s="7" t="n"/>
      <c r="E105" s="7" t="n"/>
      <c r="F105" s="12" t="n"/>
      <c r="G105" s="13" t="n"/>
      <c r="H105" s="12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18" customHeight="1">
      <c r="A106" s="6" t="n"/>
      <c r="B106" s="6" t="n"/>
      <c r="C106" s="6" t="n"/>
      <c r="D106" s="6" t="n"/>
      <c r="E106" s="6" t="n"/>
      <c r="F106" s="10" t="n"/>
      <c r="G106" s="11" t="n"/>
      <c r="H106" s="10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</row>
    <row r="108" ht="20" customHeight="1">
      <c r="A108" s="3" t="inlineStr">
        <is>
          <t>PIPELINE SUMMARY</t>
        </is>
      </c>
    </row>
    <row r="109" ht="20" customHeight="1">
      <c r="A109" s="14" t="inlineStr">
        <is>
          <t>Total Pipeline Value (OMR)</t>
        </is>
      </c>
      <c r="B109" s="15">
        <f>SUM(F6:F106)</f>
        <v/>
      </c>
    </row>
    <row r="110" ht="20" customHeight="1">
      <c r="A110" s="14" t="inlineStr">
        <is>
          <t>Weighted Pipeline (OMR)</t>
        </is>
      </c>
      <c r="B110" s="15">
        <f>SUM(H6:H106)</f>
        <v/>
      </c>
    </row>
    <row r="111" ht="20" customHeight="1">
      <c r="A111" s="14" t="inlineStr">
        <is>
          <t>6-Month Target (OMR)</t>
        </is>
      </c>
      <c r="B111" s="15" t="n">
        <v>63000</v>
      </c>
    </row>
    <row r="112" ht="20" customHeight="1">
      <c r="A112" s="14" t="inlineStr">
        <is>
          <t>% to Target (Weighted)</t>
        </is>
      </c>
      <c r="B112" s="16">
        <f>IFERROR(H110/H111,0)</f>
        <v/>
      </c>
    </row>
    <row r="113" ht="20" customHeight="1">
      <c r="A113" s="14" t="inlineStr">
        <is>
          <t>Deals in Pipeline</t>
        </is>
      </c>
      <c r="B113" s="17">
        <f>COUNTA(A6:A106)</f>
        <v/>
      </c>
    </row>
    <row r="114" ht="20" customHeight="1">
      <c r="A114" s="14" t="inlineStr">
        <is>
          <t>Target Deals</t>
        </is>
      </c>
      <c r="B114" s="17" t="n">
        <v>30</v>
      </c>
    </row>
  </sheetData>
  <mergeCells count="4">
    <mergeCell ref="A1:U1"/>
    <mergeCell ref="A5:U5"/>
    <mergeCell ref="A108:H108"/>
    <mergeCell ref="A2:U2"/>
  </mergeCells>
  <dataValidations count="7">
    <dataValidation sqref="D6:D106" showDropDown="0" showInputMessage="1" showErrorMessage="0" allowBlank="1" promptTitle="Select" prompt="Service pillar" type="list">
      <formula1>"Software Solutions,AI Technology &amp; Automation,Digital Marketing Systems,Human Capital Systems"</formula1>
    </dataValidation>
    <dataValidation sqref="E6:E106" showDropDown="0" showInputMessage="1" showErrorMessage="0" allowBlank="1" promptTitle="Select" prompt="Deal stage" type="list">
      <formula1>"Lead,Initial Contact,Qualified,Fix Meeting,Meeting Day,Follow-Up,Post-Meeting,Proposal Sent,Negotiation,Closed Won,Closed Lost,Archived"</formula1>
    </dataValidation>
    <dataValidation sqref="J6:J106" showDropDown="0" showInputMessage="1" showErrorMessage="0" allowBlank="1" promptTitle="Select" prompt="Meeting status" type="list">
      <formula1>"Pending,Completed,Cancelled,No Show,Rescheduled"</formula1>
    </dataValidation>
    <dataValidation sqref="K6:K106" showDropDown="0" showInputMessage="1" showErrorMessage="0" allowBlank="1" promptTitle="Select" prompt="Post-meeting branch" type="list">
      <formula1>"Positive → Proposal Sent,Needs More Info → Follow-Up Meeting Scheduled,Not Interested → Close Lost,N/A"</formula1>
    </dataValidation>
    <dataValidation sqref="M6:M106" showDropDown="0" showInputMessage="1" showErrorMessage="0" allowBlank="1" promptTitle="Select" prompt="Proposal response" type="list">
      <formula1>"Accepted,Rejected,No Response,Under Review,Revision Requested"</formula1>
    </dataValidation>
    <dataValidation sqref="S6:S106" showDropDown="0" showInputMessage="1" showErrorMessage="0" allowBlank="1" promptTitle="Select" prompt="Objection type" type="list">
      <formula1>"Timing Not Right,Already Working With Someone,Too Expensive / No Budget,Need To Think About It,Not A Priority,Trust / Proof Needed"</formula1>
    </dataValidation>
    <dataValidation sqref="T6:T106" showDropDown="0" showInputMessage="1" showErrorMessage="0" allowBlank="1" promptTitle="Select" prompt="Rebuttal used" type="list">
      <formula1>"Rebuttal A - Timing,Rebuttal B - Timing,Rebuttal A - Competitor,Rebuttal B - Competitor,Rebuttal A - Budget,Rebuttal B - Budget,Rebuttal A - Thinking,Rebuttal B - Thinking,Phase 1 Scope Offer"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0" customWidth="1" min="4" max="4"/>
    <col width="18" customWidth="1" min="5" max="5"/>
    <col width="14" customWidth="1" min="6" max="6"/>
    <col width="24" customWidth="1" min="7" max="7"/>
    <col width="10" customWidth="1" min="8" max="8"/>
    <col width="12" customWidth="1" min="9" max="9"/>
    <col width="14" customWidth="1" min="10" max="10"/>
    <col width="16" customWidth="1" min="11" max="11"/>
    <col width="12" customWidth="1" min="12" max="12"/>
    <col width="18" customWidth="1" min="13" max="13"/>
    <col width="18" customWidth="1" min="14" max="14"/>
    <col width="16" customWidth="1" min="15" max="15"/>
    <col width="22" customWidth="1" min="16" max="16"/>
    <col width="12" customWidth="1" min="17" max="17"/>
    <col width="26" customWidth="1" min="18" max="18"/>
  </cols>
  <sheetData>
    <row r="1" ht="34" customHeight="1">
      <c r="A1" s="1" t="inlineStr">
        <is>
          <t>TADBEER TRANSFORMATIONS │ WHATSAPP OUTREACH TRACKER</t>
        </is>
      </c>
    </row>
    <row r="2" ht="16" customHeight="1">
      <c r="A2" s="2" t="inlineStr">
        <is>
          <t>WhatsApp is Oman's dominant B2B channel (60% reply rate target). This flow is SEPARATE from LinkedIn 7-touch sequence. Max 40-50 new touches/day to avoid spam flags.</t>
        </is>
      </c>
    </row>
    <row r="3" ht="28" customHeight="1">
      <c r="A3" s="3" t="inlineStr">
        <is>
          <t>WA ID</t>
        </is>
      </c>
      <c r="B3" s="3" t="inlineStr">
        <is>
          <t>Date</t>
        </is>
      </c>
      <c r="C3" s="3" t="inlineStr">
        <is>
          <t>Lead ID</t>
        </is>
      </c>
      <c r="D3" s="3" t="inlineStr">
        <is>
          <t>Company Name</t>
        </is>
      </c>
      <c r="E3" s="3" t="inlineStr">
        <is>
          <t>Contact Name</t>
        </is>
      </c>
      <c r="F3" s="3" t="inlineStr">
        <is>
          <t>WA Number</t>
        </is>
      </c>
      <c r="G3" s="3" t="inlineStr">
        <is>
          <t>WA Step</t>
        </is>
      </c>
      <c r="H3" s="3" t="inlineStr">
        <is>
          <t>Message Sent?</t>
        </is>
      </c>
      <c r="I3" s="3" t="inlineStr">
        <is>
          <t>Date Sent</t>
        </is>
      </c>
      <c r="J3" s="3" t="inlineStr">
        <is>
          <t>Response Received?</t>
        </is>
      </c>
      <c r="K3" s="3" t="inlineStr">
        <is>
          <t>Response Type</t>
        </is>
      </c>
      <c r="L3" s="3" t="inlineStr">
        <is>
          <t>Interest Level</t>
        </is>
      </c>
      <c r="M3" s="3" t="inlineStr">
        <is>
          <t>Compliance Checklist Sent?</t>
        </is>
      </c>
      <c r="N3" s="3" t="inlineStr">
        <is>
          <t>Discovery Booking Offered?</t>
        </is>
      </c>
      <c r="O3" s="3" t="inlineStr">
        <is>
          <t>Meeting Booked via WA?</t>
        </is>
      </c>
      <c r="P3" s="3" t="inlineStr">
        <is>
          <t>Next WA Action</t>
        </is>
      </c>
      <c r="Q3" s="3" t="inlineStr">
        <is>
          <t>Next WA Date</t>
        </is>
      </c>
      <c r="R3" s="3" t="inlineStr">
        <is>
          <t>Notes</t>
        </is>
      </c>
    </row>
    <row r="4" ht="18" customHeight="1">
      <c r="A4" s="4" t="inlineStr">
        <is>
          <t>WA-XXX</t>
        </is>
      </c>
      <c r="B4" s="4" t="inlineStr">
        <is>
          <t>DD/MM/YY</t>
        </is>
      </c>
      <c r="C4" s="4" t="inlineStr">
        <is>
          <t>Ref DB</t>
        </is>
      </c>
      <c r="D4" s="4" t="inlineStr">
        <is>
          <t>Auto</t>
        </is>
      </c>
      <c r="E4" s="4" t="inlineStr">
        <is>
          <t>Auto</t>
        </is>
      </c>
      <c r="F4" s="4" t="inlineStr">
        <is>
          <t>+968 XXXX</t>
        </is>
      </c>
      <c r="G4" s="4" t="inlineStr">
        <is>
          <t>Step in flow</t>
        </is>
      </c>
      <c r="H4" s="4" t="inlineStr">
        <is>
          <t>Yes/No</t>
        </is>
      </c>
      <c r="I4" s="4" t="inlineStr">
        <is>
          <t>DD/MM/YY</t>
        </is>
      </c>
      <c r="J4" s="4" t="inlineStr">
        <is>
          <t>Yes/No</t>
        </is>
      </c>
      <c r="K4" s="4" t="inlineStr">
        <is>
          <t>Response</t>
        </is>
      </c>
      <c r="L4" s="4" t="inlineStr">
        <is>
          <t>Hot/Warm/Cold</t>
        </is>
      </c>
      <c r="M4" s="4" t="inlineStr">
        <is>
          <t>Yes/No</t>
        </is>
      </c>
      <c r="N4" s="4" t="inlineStr">
        <is>
          <t>Yes/No</t>
        </is>
      </c>
      <c r="O4" s="4" t="inlineStr">
        <is>
          <t>Yes/No</t>
        </is>
      </c>
      <c r="P4" s="4" t="inlineStr">
        <is>
          <t>Next step</t>
        </is>
      </c>
      <c r="Q4" s="4" t="inlineStr">
        <is>
          <t>DD/MM/YY</t>
        </is>
      </c>
      <c r="R4" s="4" t="inlineStr">
        <is>
          <t>Context</t>
        </is>
      </c>
    </row>
    <row r="5" ht="22" customHeight="1">
      <c r="A5" s="18" t="inlineStr">
        <is>
          <t>WA FLOW: Step 1 Warm Opener → Step 2 Follow-Up Response (ONLY if interested) → Step 3 Send Compliance Checklist → Step 4 Offer 15-min Discovery Call → Step 5 Book Meeting  |  Daily limit: 40-50 new touches. Always use corporate WA Business account.</t>
        </is>
      </c>
    </row>
    <row r="6" ht="18" customHeight="1">
      <c r="A6" s="6" t="inlineStr">
        <is>
          <t>WA-001</t>
        </is>
      </c>
      <c r="B6" s="6" t="inlineStr">
        <is>
          <t>10/07/2026</t>
        </is>
      </c>
      <c r="C6" s="6" t="inlineStr">
        <is>
          <t>TDB-002</t>
        </is>
      </c>
      <c r="D6" s="6" t="inlineStr">
        <is>
          <t>Sohar Logistics Co.</t>
        </is>
      </c>
      <c r="E6" s="6" t="inlineStr">
        <is>
          <t>Ahmed Al Balushi</t>
        </is>
      </c>
      <c r="F6" s="6" t="inlineStr">
        <is>
          <t>+968 9100 0002</t>
        </is>
      </c>
      <c r="G6" s="6" t="inlineStr">
        <is>
          <t>Step 1 - Warm Opener</t>
        </is>
      </c>
      <c r="H6" s="6" t="inlineStr">
        <is>
          <t>Yes</t>
        </is>
      </c>
      <c r="I6" s="6" t="inlineStr">
        <is>
          <t>10/07/2026</t>
        </is>
      </c>
      <c r="J6" s="6" t="inlineStr">
        <is>
          <t>No</t>
        </is>
      </c>
      <c r="K6" s="6" t="inlineStr">
        <is>
          <t>No Reply</t>
        </is>
      </c>
      <c r="L6" s="6" t="inlineStr">
        <is>
          <t>Cold</t>
        </is>
      </c>
      <c r="M6" s="6" t="inlineStr">
        <is>
          <t>No</t>
        </is>
      </c>
      <c r="N6" s="6" t="inlineStr">
        <is>
          <t>No</t>
        </is>
      </c>
      <c r="O6" s="6" t="inlineStr">
        <is>
          <t>No</t>
        </is>
      </c>
      <c r="P6" s="6" t="inlineStr">
        <is>
          <t>Send Step 1 Follow-Up</t>
        </is>
      </c>
      <c r="Q6" s="6" t="inlineStr">
        <is>
          <t>14/07/2026</t>
        </is>
      </c>
      <c r="R6" s="6" t="inlineStr">
        <is>
          <t>Re-engage with different hook</t>
        </is>
      </c>
    </row>
    <row r="7" ht="18" customHeight="1">
      <c r="A7" s="7" t="inlineStr">
        <is>
          <t>WA-002</t>
        </is>
      </c>
      <c r="B7" s="7" t="inlineStr">
        <is>
          <t>09/07/2026</t>
        </is>
      </c>
      <c r="C7" s="7" t="inlineStr">
        <is>
          <t>TDB-001</t>
        </is>
      </c>
      <c r="D7" s="7" t="inlineStr">
        <is>
          <t>Al Rashidi Trading LLC</t>
        </is>
      </c>
      <c r="E7" s="7" t="inlineStr">
        <is>
          <t>Mohammed Al Rashidi</t>
        </is>
      </c>
      <c r="F7" s="7" t="inlineStr">
        <is>
          <t>+968 9100 0001</t>
        </is>
      </c>
      <c r="G7" s="7" t="inlineStr">
        <is>
          <t>Step 3 - Compliance Checklist</t>
        </is>
      </c>
      <c r="H7" s="7" t="inlineStr">
        <is>
          <t>Yes</t>
        </is>
      </c>
      <c r="I7" s="7" t="inlineStr">
        <is>
          <t>13/07/2026</t>
        </is>
      </c>
      <c r="J7" s="7" t="inlineStr">
        <is>
          <t>Yes</t>
        </is>
      </c>
      <c r="K7" s="7" t="inlineStr">
        <is>
          <t>Positive</t>
        </is>
      </c>
      <c r="L7" s="7" t="inlineStr">
        <is>
          <t>Hot</t>
        </is>
      </c>
      <c r="M7" s="7" t="inlineStr">
        <is>
          <t>Yes</t>
        </is>
      </c>
      <c r="N7" s="7" t="inlineStr">
        <is>
          <t>Yes</t>
        </is>
      </c>
      <c r="O7" s="7" t="inlineStr">
        <is>
          <t>No</t>
        </is>
      </c>
      <c r="P7" s="7" t="inlineStr">
        <is>
          <t>Book Discovery Call</t>
        </is>
      </c>
      <c r="Q7" s="7" t="inlineStr">
        <is>
          <t>15/07/2026</t>
        </is>
      </c>
      <c r="R7" s="7" t="inlineStr">
        <is>
          <t>Responded quickly. Very interested in Fawtara prep.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 ht="18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</row>
    <row r="60" ht="18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</row>
    <row r="62" ht="18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</row>
    <row r="64" ht="18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</row>
    <row r="66" ht="18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</row>
    <row r="68" ht="18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</row>
    <row r="70" ht="18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</row>
    <row r="72" ht="18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</row>
    <row r="74" ht="18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 ht="18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</row>
    <row r="78" ht="18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</row>
    <row r="80" ht="18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</row>
    <row r="82" ht="18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</row>
    <row r="84" ht="18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</row>
    <row r="86" ht="18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</row>
    <row r="88" ht="18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</row>
    <row r="90" ht="18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</row>
    <row r="92" ht="18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</row>
    <row r="94" ht="18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</row>
    <row r="96" ht="18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</row>
    <row r="98" ht="18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</row>
    <row r="100" ht="18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</row>
    <row r="102" ht="18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</row>
    <row r="104" ht="18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</row>
    <row r="106" ht="18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</row>
  </sheetData>
  <mergeCells count="3">
    <mergeCell ref="A1:P1"/>
    <mergeCell ref="A5:R5"/>
    <mergeCell ref="A2:P2"/>
  </mergeCells>
  <dataValidations count="8">
    <dataValidation sqref="G6:G106" showDropDown="0" showInputMessage="1" showErrorMessage="0" allowBlank="1" promptTitle="Select" prompt="WA step" type="list">
      <formula1>"Step 1 - Warm Opener,Step 2 - Follow-Up Response,Step 3 - Compliance Checklist,Step 4 - Discovery Call Offer,Step 5 - Meeting Confirmation,Step 5B - Reschedule,Long-Term Nurture"</formula1>
    </dataValidation>
    <dataValidation sqref="H6:H106" showDropDown="0" showInputMessage="1" showErrorMessage="0" allowBlank="1" promptTitle="Select" prompt="Sent?" type="list">
      <formula1>"Yes,No"</formula1>
    </dataValidation>
    <dataValidation sqref="J6:J106" showDropDown="0" showInputMessage="1" showErrorMessage="0" allowBlank="1" promptTitle="Select" prompt="Response?" type="list">
      <formula1>"Yes,No"</formula1>
    </dataValidation>
    <dataValidation sqref="K6:K106" showDropDown="0" showInputMessage="1" showErrorMessage="0" allowBlank="1" promptTitle="Select" prompt="Response type" type="list">
      <formula1>"No Reply,Positive,Interested,Needs More Info,Not Interested,Callback Requested,Opted Out"</formula1>
    </dataValidation>
    <dataValidation sqref="L6:L106" showDropDown="0" showInputMessage="1" showErrorMessage="0" allowBlank="1" promptTitle="Select" prompt="Interest level" type="list">
      <formula1>"Hot,Warm,Cold,Dead"</formula1>
    </dataValidation>
    <dataValidation sqref="M6:M106" showDropDown="0" showInputMessage="1" showErrorMessage="0" allowBlank="1" promptTitle="Select" prompt="Checklist sent?" type="list">
      <formula1>"Yes,No,N/A"</formula1>
    </dataValidation>
    <dataValidation sqref="N6:N106" showDropDown="0" showInputMessage="1" showErrorMessage="0" allowBlank="1" promptTitle="Select" prompt="Discovery offered?" type="list">
      <formula1>"Yes,No,N/A"</formula1>
    </dataValidation>
    <dataValidation sqref="O6:O106" showDropDown="0" showInputMessage="1" showErrorMessage="0" allowBlank="1" promptTitle="Select" prompt="Meeting booked?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2" customWidth="1" min="10" max="10"/>
    <col width="18" customWidth="1" min="11" max="11"/>
    <col width="14" customWidth="1" min="12" max="12"/>
    <col width="12" customWidth="1" min="13" max="13"/>
    <col width="18" customWidth="1" min="14" max="14"/>
    <col width="14" customWidth="1" min="15" max="15"/>
    <col width="12" customWidth="1" min="16" max="16"/>
    <col width="18" customWidth="1" min="17" max="17"/>
    <col width="14" customWidth="1" min="18" max="18"/>
    <col width="12" customWidth="1" min="19" max="19"/>
    <col width="18" customWidth="1" min="20" max="20"/>
    <col width="14" customWidth="1" min="21" max="21"/>
  </cols>
  <sheetData>
    <row r="1" ht="34" customHeight="1">
      <c r="A1" s="1" t="inlineStr">
        <is>
          <t>TADBEER TRANSFORMATIONS │ LINKEDIN 7-TOUCH SEQUENCE TRACKER</t>
        </is>
      </c>
    </row>
    <row r="2" ht="16" customHeight="1">
      <c r="A2" s="2" t="inlineStr">
        <is>
          <t>LinkedIn only. One row per lead. Track all 7 touches. Color = Green(Done) Amber(Pending) Red(No Reply/Not Interested). Target: 15 connections + 10 DMs + 5 warm DMs daily.</t>
        </is>
      </c>
    </row>
    <row r="3" ht="28" customHeight="1">
      <c r="A3" s="3" t="inlineStr">
        <is>
          <t>Lead ID</t>
        </is>
      </c>
      <c r="B3" s="3" t="inlineStr">
        <is>
          <t>Company Name</t>
        </is>
      </c>
      <c r="C3" s="3" t="inlineStr">
        <is>
          <t>T1 Status</t>
        </is>
      </c>
      <c r="D3" s="3" t="inlineStr">
        <is>
          <t>T1 Date</t>
        </is>
      </c>
      <c r="E3" s="3" t="inlineStr">
        <is>
          <t>T1 Response</t>
        </is>
      </c>
      <c r="F3" s="3" t="inlineStr">
        <is>
          <t>T2 Status</t>
        </is>
      </c>
      <c r="G3" s="3" t="inlineStr">
        <is>
          <t>T2 Date</t>
        </is>
      </c>
      <c r="H3" s="3" t="inlineStr">
        <is>
          <t>T2 Response</t>
        </is>
      </c>
      <c r="I3" s="3" t="inlineStr">
        <is>
          <t>T3 Status</t>
        </is>
      </c>
      <c r="J3" s="3" t="inlineStr">
        <is>
          <t>T3 Date</t>
        </is>
      </c>
      <c r="K3" s="3" t="inlineStr">
        <is>
          <t>T3 Response</t>
        </is>
      </c>
      <c r="L3" s="3" t="inlineStr">
        <is>
          <t>T4 Status</t>
        </is>
      </c>
      <c r="M3" s="3" t="inlineStr">
        <is>
          <t>T4 Date</t>
        </is>
      </c>
      <c r="N3" s="3" t="inlineStr">
        <is>
          <t>T4 Response</t>
        </is>
      </c>
      <c r="O3" s="3" t="inlineStr">
        <is>
          <t>T5 Status</t>
        </is>
      </c>
      <c r="P3" s="3" t="inlineStr">
        <is>
          <t>T5 Date</t>
        </is>
      </c>
      <c r="Q3" s="3" t="inlineStr">
        <is>
          <t>T5 Response</t>
        </is>
      </c>
      <c r="R3" s="3" t="inlineStr">
        <is>
          <t>T6 Status</t>
        </is>
      </c>
      <c r="S3" s="3" t="inlineStr">
        <is>
          <t>T6 Date</t>
        </is>
      </c>
      <c r="T3" s="3" t="inlineStr">
        <is>
          <t>T6 Response</t>
        </is>
      </c>
      <c r="U3" s="3" t="inlineStr">
        <is>
          <t>T7 Status</t>
        </is>
      </c>
    </row>
    <row r="4" ht="18" customHeight="1">
      <c r="A4" s="4" t="inlineStr"/>
      <c r="B4" s="4" t="inlineStr"/>
      <c r="C4" s="4" t="inlineStr">
        <is>
          <t>D1: Connection</t>
        </is>
      </c>
      <c r="D4" s="4" t="inlineStr"/>
      <c r="E4" s="4" t="inlineStr"/>
      <c r="F4" s="4" t="inlineStr">
        <is>
          <t>D3: Soft Diagnostic</t>
        </is>
      </c>
      <c r="G4" s="4" t="inlineStr"/>
      <c r="H4" s="4" t="inlineStr"/>
      <c r="I4" s="4" t="inlineStr">
        <is>
          <t>D5: Diagnostic Asset</t>
        </is>
      </c>
      <c r="J4" s="4" t="inlineStr"/>
      <c r="K4" s="4" t="inlineStr"/>
      <c r="L4" s="4" t="inlineStr">
        <is>
          <t>D9: Local Proof</t>
        </is>
      </c>
      <c r="M4" s="4" t="inlineStr"/>
      <c r="N4" s="4" t="inlineStr"/>
      <c r="O4" s="4" t="inlineStr">
        <is>
          <t>D14: Direct Invite</t>
        </is>
      </c>
      <c r="P4" s="4" t="inlineStr"/>
      <c r="Q4" s="4" t="inlineStr"/>
      <c r="R4" s="4" t="inlineStr">
        <is>
          <t>D21: Break-Up</t>
        </is>
      </c>
      <c r="S4" s="4" t="inlineStr"/>
      <c r="T4" s="4" t="inlineStr"/>
      <c r="U4" s="4" t="inlineStr">
        <is>
          <t>D45+: Nurture</t>
        </is>
      </c>
    </row>
    <row r="5" ht="18" customHeight="1">
      <c r="A5" s="7" t="inlineStr">
        <is>
          <t>TDB-001</t>
        </is>
      </c>
      <c r="B5" s="7" t="inlineStr">
        <is>
          <t>Al Rashidi Trading LLC</t>
        </is>
      </c>
      <c r="C5" s="19" t="inlineStr">
        <is>
          <t>Done</t>
        </is>
      </c>
      <c r="D5" s="7" t="inlineStr">
        <is>
          <t>09/07/2026</t>
        </is>
      </c>
      <c r="E5" s="7" t="inlineStr">
        <is>
          <t>Accepted</t>
        </is>
      </c>
      <c r="F5" s="19" t="inlineStr">
        <is>
          <t>Done</t>
        </is>
      </c>
      <c r="G5" s="7" t="inlineStr">
        <is>
          <t>12/07/2026</t>
        </is>
      </c>
      <c r="H5" s="7" t="inlineStr">
        <is>
          <t>Positive - Interested</t>
        </is>
      </c>
      <c r="I5" s="20" t="inlineStr">
        <is>
          <t>Pending</t>
        </is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</row>
    <row r="6" ht="18" customHeight="1">
      <c r="A6" s="6" t="inlineStr">
        <is>
          <t>TDB-002</t>
        </is>
      </c>
      <c r="B6" s="6" t="inlineStr">
        <is>
          <t>Sohar Logistics Co.</t>
        </is>
      </c>
      <c r="C6" s="19" t="inlineStr">
        <is>
          <t>Done</t>
        </is>
      </c>
      <c r="D6" s="6" t="inlineStr">
        <is>
          <t>10/07/2026</t>
        </is>
      </c>
      <c r="E6" s="6" t="inlineStr">
        <is>
          <t>No Reply</t>
        </is>
      </c>
      <c r="F6" s="20" t="inlineStr">
        <is>
          <t>Pending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18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18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18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18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18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18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18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8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18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18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18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8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18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18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18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18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18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18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18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18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18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18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18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18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</sheetData>
  <mergeCells count="2">
    <mergeCell ref="A2:R2"/>
    <mergeCell ref="A1:R1"/>
  </mergeCells>
  <dataValidations count="13">
    <dataValidation sqref="C5:C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F5:F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I5:I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L5:L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O5:O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R5:R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U5:U105" showDropDown="0" showInputMessage="1" showErrorMessage="0" allowBlank="1" promptTitle="Select" prompt="Touch status" type="list">
      <formula1>"Done,Pending,Skipped,No Reply,Not Interested,Interested,Meeting Booked"</formula1>
    </dataValidation>
    <dataValidation sqref="E5:E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  <dataValidation sqref="H5:H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  <dataValidation sqref="K5:K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  <dataValidation sqref="N5:N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  <dataValidation sqref="Q5:Q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  <dataValidation sqref="T5:T105" showDropDown="0" showInputMessage="1" showErrorMessage="0" allowBlank="1" promptTitle="Select" prompt="Response" type="list">
      <formula1>"Accepted,No Reply,Responded,Positive,Interested,Negative,Not Interested,Meeting Booked,Break-Up Sent,Nurture Sent"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8" customWidth="1" min="8" max="8"/>
    <col width="14" customWidth="1" min="9" max="9"/>
  </cols>
  <sheetData>
    <row r="1" ht="34" customHeight="1">
      <c r="A1" s="1" t="inlineStr">
        <is>
          <t>TADBEER TRANSFORMATIONS │ SERVICE PILLAR TARGET TRACKER</t>
        </is>
      </c>
    </row>
    <row r="2" ht="16" customHeight="1">
      <c r="A2" s="2" t="inlineStr">
        <is>
          <t>OMR 63,000 target broken by pillar. Track deals closed, revenue, and leads required vs actual. Update weekly.</t>
        </is>
      </c>
    </row>
    <row r="3" ht="20" customHeight="1">
      <c r="A3" s="3" t="inlineStr">
        <is>
          <t>6-MONTH COMMERCIAL TARGETS (from Strategy Deck)</t>
        </is>
      </c>
    </row>
    <row r="4" ht="28" customHeight="1">
      <c r="A4" s="21" t="inlineStr">
        <is>
          <t>Service Pillar</t>
        </is>
      </c>
      <c r="B4" s="21" t="inlineStr">
        <is>
          <t>Avg Deal (OMR)</t>
        </is>
      </c>
      <c r="C4" s="21" t="inlineStr">
        <is>
          <t>Deals Needed</t>
        </is>
      </c>
      <c r="D4" s="21" t="inlineStr">
        <is>
          <t>Target Revenue (OMR)</t>
        </is>
      </c>
      <c r="E4" s="21" t="inlineStr">
        <is>
          <t>Qualified Leads Req.</t>
        </is>
      </c>
      <c r="F4" s="21" t="inlineStr">
        <is>
          <t>Deals Closed</t>
        </is>
      </c>
      <c r="G4" s="21" t="inlineStr">
        <is>
          <t>Revenue Closed (OMR)</t>
        </is>
      </c>
      <c r="H4" s="21" t="inlineStr">
        <is>
          <t>Leads in Pipeline</t>
        </is>
      </c>
      <c r="I4" s="21" t="inlineStr">
        <is>
          <t>% Deals Done</t>
        </is>
      </c>
      <c r="J4" s="21" t="inlineStr">
        <is>
          <t>% Revenue Done</t>
        </is>
      </c>
      <c r="K4" s="21" t="inlineStr">
        <is>
          <t>Status</t>
        </is>
      </c>
    </row>
    <row r="5" ht="22" customHeight="1">
      <c r="A5" s="22" t="inlineStr">
        <is>
          <t>Software Solutions (ERP, CRM, Workflow)</t>
        </is>
      </c>
      <c r="B5" s="23" t="n">
        <v>2500</v>
      </c>
      <c r="C5" s="23" t="n">
        <v>13</v>
      </c>
      <c r="D5" s="24" t="n">
        <v>32400</v>
      </c>
      <c r="E5" s="23" t="n">
        <v>65</v>
      </c>
      <c r="F5" s="23" t="n">
        <v>0</v>
      </c>
      <c r="G5" s="24" t="n">
        <v>0</v>
      </c>
      <c r="H5" s="23" t="n">
        <v>0</v>
      </c>
      <c r="I5" s="25">
        <f>IFERROR(G5/C5,0)</f>
        <v/>
      </c>
      <c r="J5" s="25">
        <f>IFERROR(H5/D5,0)</f>
        <v/>
      </c>
    </row>
    <row r="6" ht="22" customHeight="1">
      <c r="A6" s="26" t="inlineStr">
        <is>
          <t>AI Technology &amp; Automation</t>
        </is>
      </c>
      <c r="B6" s="27" t="n">
        <v>5000</v>
      </c>
      <c r="C6" s="27" t="n">
        <v>3</v>
      </c>
      <c r="D6" s="28" t="n">
        <v>14400</v>
      </c>
      <c r="E6" s="27" t="n">
        <v>14</v>
      </c>
      <c r="F6" s="27" t="n">
        <v>0</v>
      </c>
      <c r="G6" s="28" t="n">
        <v>0</v>
      </c>
      <c r="H6" s="27" t="n">
        <v>0</v>
      </c>
      <c r="I6" s="29">
        <f>IFERROR(G6/C6,0)</f>
        <v/>
      </c>
      <c r="J6" s="29">
        <f>IFERROR(H6/D6,0)</f>
        <v/>
      </c>
    </row>
    <row r="7" ht="22" customHeight="1">
      <c r="A7" s="22" t="inlineStr">
        <is>
          <t>Digital Marketing Systems</t>
        </is>
      </c>
      <c r="B7" s="23" t="n">
        <v>1500</v>
      </c>
      <c r="C7" s="23" t="n">
        <v>5</v>
      </c>
      <c r="D7" s="24" t="n">
        <v>8100</v>
      </c>
      <c r="E7" s="23" t="n">
        <v>27</v>
      </c>
      <c r="F7" s="23" t="n">
        <v>0</v>
      </c>
      <c r="G7" s="24" t="n">
        <v>0</v>
      </c>
      <c r="H7" s="23" t="n">
        <v>0</v>
      </c>
      <c r="I7" s="25">
        <f>IFERROR(G7/C7,0)</f>
        <v/>
      </c>
      <c r="J7" s="25">
        <f>IFERROR(H7/D7,0)</f>
        <v/>
      </c>
    </row>
    <row r="8" ht="22" customHeight="1">
      <c r="A8" s="26" t="inlineStr">
        <is>
          <t>Human Capital Systems</t>
        </is>
      </c>
      <c r="B8" s="27" t="n">
        <v>900</v>
      </c>
      <c r="C8" s="27" t="n">
        <v>9</v>
      </c>
      <c r="D8" s="28" t="n">
        <v>8100</v>
      </c>
      <c r="E8" s="27" t="n">
        <v>45</v>
      </c>
      <c r="F8" s="27" t="n">
        <v>0</v>
      </c>
      <c r="G8" s="28" t="n">
        <v>0</v>
      </c>
      <c r="H8" s="27" t="n">
        <v>0</v>
      </c>
      <c r="I8" s="29">
        <f>IFERROR(G8/C8,0)</f>
        <v/>
      </c>
      <c r="J8" s="29">
        <f>IFERROR(H8/D8,0)</f>
        <v/>
      </c>
    </row>
    <row r="9" ht="22" customHeight="1">
      <c r="A9" s="3" t="inlineStr">
        <is>
          <t>TOTAL</t>
        </is>
      </c>
      <c r="B9" s="3">
        <f>SUMPRODUCT(B5:B8,C5:C8)/SUM(C5:C8)</f>
        <v/>
      </c>
      <c r="C9" s="3">
        <f>SUM(C5:C8)</f>
        <v/>
      </c>
      <c r="D9" s="30">
        <f>SUM(D5:D8)</f>
        <v/>
      </c>
      <c r="E9" s="3">
        <f>SUM(E5:E8)</f>
        <v/>
      </c>
      <c r="F9" s="3">
        <f>SUM(G5:G8)</f>
        <v/>
      </c>
      <c r="G9" s="30">
        <f>SUM(H5:H8)</f>
        <v/>
      </c>
      <c r="H9" s="3">
        <f>SUM(I5:I8)</f>
        <v/>
      </c>
    </row>
    <row r="10" ht="20" customHeight="1">
      <c r="A10" s="21" t="inlineStr">
        <is>
          <t>OVERALL PROGRESS vs OMR 63,000 TARGET</t>
        </is>
      </c>
    </row>
    <row r="11" ht="20" customHeight="1">
      <c r="A11" s="31" t="inlineStr">
        <is>
          <t>Revenue Closed (OMR)</t>
        </is>
      </c>
      <c r="B11" s="32">
        <f>H9</f>
        <v/>
      </c>
    </row>
    <row r="12" ht="20" customHeight="1">
      <c r="A12" s="31" t="inlineStr">
        <is>
          <t>% to Target</t>
        </is>
      </c>
      <c r="B12" s="33">
        <f>IFERROR(H9/63000,0)</f>
        <v/>
      </c>
    </row>
    <row r="13" ht="20" customHeight="1">
      <c r="A13" s="31" t="inlineStr">
        <is>
          <t>Deals Closed</t>
        </is>
      </c>
      <c r="B13" s="34">
        <f>G9</f>
        <v/>
      </c>
    </row>
    <row r="14" ht="20" customHeight="1">
      <c r="A14" s="31" t="inlineStr">
        <is>
          <t>Deals Remaining</t>
        </is>
      </c>
      <c r="B14" s="34">
        <f>30-G9</f>
        <v/>
      </c>
    </row>
    <row r="16" ht="20" customHeight="1">
      <c r="A16" s="3" t="inlineStr">
        <is>
          <t>MONTHLY DEAL LOG — Update as deals close</t>
        </is>
      </c>
    </row>
    <row r="17" ht="28" customHeight="1">
      <c r="A17" s="21" t="inlineStr">
        <is>
          <t>Month</t>
        </is>
      </c>
      <c r="B17" s="21" t="inlineStr">
        <is>
          <t>Software Deals</t>
        </is>
      </c>
      <c r="C17" s="21" t="inlineStr">
        <is>
          <t>AI Deals</t>
        </is>
      </c>
      <c r="D17" s="21" t="inlineStr">
        <is>
          <t>Marketing Deals</t>
        </is>
      </c>
      <c r="E17" s="21" t="inlineStr">
        <is>
          <t>HC Deals</t>
        </is>
      </c>
      <c r="F17" s="21" t="inlineStr">
        <is>
          <t>Total Deals</t>
        </is>
      </c>
      <c r="G17" s="21" t="inlineStr">
        <is>
          <t>Revenue (OMR)</t>
        </is>
      </c>
      <c r="H17" s="21" t="inlineStr">
        <is>
          <t>Cumulative Revenue</t>
        </is>
      </c>
      <c r="I17" s="21" t="inlineStr">
        <is>
          <t>% to 63K</t>
        </is>
      </c>
    </row>
    <row r="18" ht="20" customHeight="1">
      <c r="A18" s="23" t="inlineStr">
        <is>
          <t>July 2026</t>
        </is>
      </c>
      <c r="B18" s="23" t="n"/>
      <c r="C18" s="23" t="n"/>
      <c r="D18" s="23" t="n"/>
      <c r="E18" s="23" t="n"/>
      <c r="F18" s="23">
        <f>SUM(B18:E18)</f>
        <v/>
      </c>
      <c r="G18" s="24" t="n"/>
      <c r="H18" s="24">
        <f>SUM(G18:G18)</f>
        <v/>
      </c>
      <c r="I18" s="35">
        <f>IFERROR(H18/63000,0)</f>
        <v/>
      </c>
    </row>
    <row r="19" ht="20" customHeight="1">
      <c r="A19" s="27" t="inlineStr">
        <is>
          <t>August 2026</t>
        </is>
      </c>
      <c r="B19" s="27" t="n"/>
      <c r="C19" s="27" t="n"/>
      <c r="D19" s="27" t="n"/>
      <c r="E19" s="27" t="n"/>
      <c r="F19" s="27">
        <f>SUM(B19:E19)</f>
        <v/>
      </c>
      <c r="G19" s="28" t="n"/>
      <c r="H19" s="28">
        <f>SUM(G18:G19)</f>
        <v/>
      </c>
      <c r="I19" s="36">
        <f>IFERROR(H19/63000,0)</f>
        <v/>
      </c>
    </row>
    <row r="20" ht="20" customHeight="1">
      <c r="A20" s="23" t="inlineStr">
        <is>
          <t>September 2026</t>
        </is>
      </c>
      <c r="B20" s="23" t="n"/>
      <c r="C20" s="23" t="n"/>
      <c r="D20" s="23" t="n"/>
      <c r="E20" s="23" t="n"/>
      <c r="F20" s="23">
        <f>SUM(B20:E20)</f>
        <v/>
      </c>
      <c r="G20" s="24" t="n"/>
      <c r="H20" s="24">
        <f>SUM(G18:G20)</f>
        <v/>
      </c>
      <c r="I20" s="35">
        <f>IFERROR(H20/63000,0)</f>
        <v/>
      </c>
    </row>
    <row r="21" ht="20" customHeight="1">
      <c r="A21" s="27" t="inlineStr">
        <is>
          <t>October 2026</t>
        </is>
      </c>
      <c r="B21" s="27" t="n"/>
      <c r="C21" s="27" t="n"/>
      <c r="D21" s="27" t="n"/>
      <c r="E21" s="27" t="n"/>
      <c r="F21" s="27">
        <f>SUM(B21:E21)</f>
        <v/>
      </c>
      <c r="G21" s="28" t="n"/>
      <c r="H21" s="28">
        <f>SUM(G18:G21)</f>
        <v/>
      </c>
      <c r="I21" s="36">
        <f>IFERROR(H21/63000,0)</f>
        <v/>
      </c>
    </row>
    <row r="22" ht="20" customHeight="1">
      <c r="A22" s="23" t="inlineStr">
        <is>
          <t>November 2026</t>
        </is>
      </c>
      <c r="B22" s="23" t="n"/>
      <c r="C22" s="23" t="n"/>
      <c r="D22" s="23" t="n"/>
      <c r="E22" s="23" t="n"/>
      <c r="F22" s="23">
        <f>SUM(B22:E22)</f>
        <v/>
      </c>
      <c r="G22" s="24" t="n"/>
      <c r="H22" s="24">
        <f>SUM(G18:G22)</f>
        <v/>
      </c>
      <c r="I22" s="35">
        <f>IFERROR(H22/63000,0)</f>
        <v/>
      </c>
    </row>
    <row r="23" ht="20" customHeight="1">
      <c r="A23" s="27" t="inlineStr">
        <is>
          <t>December 2026</t>
        </is>
      </c>
      <c r="B23" s="27" t="n"/>
      <c r="C23" s="27" t="n"/>
      <c r="D23" s="27" t="n"/>
      <c r="E23" s="27" t="n"/>
      <c r="F23" s="27">
        <f>SUM(B23:E23)</f>
        <v/>
      </c>
      <c r="G23" s="28" t="n"/>
      <c r="H23" s="28">
        <f>SUM(G18:G23)</f>
        <v/>
      </c>
      <c r="I23" s="36">
        <f>IFERROR(H23/63000,0)</f>
        <v/>
      </c>
    </row>
  </sheetData>
  <mergeCells count="5">
    <mergeCell ref="A2:L2"/>
    <mergeCell ref="A16:L16"/>
    <mergeCell ref="A1:L1"/>
    <mergeCell ref="A10:D10"/>
    <mergeCell ref="A3:L3"/>
  </mergeCells>
  <dataValidations count="4">
    <dataValidation sqref="K5" showDropDown="0" showInputMessage="1" showErrorMessage="0" allowBlank="1" promptTitle="Select" prompt="Pillar status" type="list">
      <formula1>"On Track,Behind,Critical,Complete"</formula1>
    </dataValidation>
    <dataValidation sqref="K6" showDropDown="0" showInputMessage="1" showErrorMessage="0" allowBlank="1" promptTitle="Select" prompt="Pillar status" type="list">
      <formula1>"On Track,Behind,Critical,Complete"</formula1>
    </dataValidation>
    <dataValidation sqref="K7" showDropDown="0" showInputMessage="1" showErrorMessage="0" allowBlank="1" promptTitle="Select" prompt="Pillar status" type="list">
      <formula1>"On Track,Behind,Critical,Complete"</formula1>
    </dataValidation>
    <dataValidation sqref="K8" showDropDown="0" showInputMessage="1" showErrorMessage="0" allowBlank="1" promptTitle="Select" prompt="Pillar status" type="list">
      <formula1>"On Track,Behind,Critical,Complete"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16" customWidth="1" min="4" max="4"/>
    <col width="10" customWidth="1" min="5" max="5"/>
    <col width="38" customWidth="1" min="6" max="6"/>
    <col width="10" customWidth="1" min="7" max="7"/>
    <col width="10" customWidth="1" min="8" max="8"/>
    <col width="14" customWidth="1" min="9" max="9"/>
    <col width="38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30" customWidth="1" min="16" max="16"/>
    <col width="20" customWidth="1" min="17" max="17"/>
    <col width="26" customWidth="1" min="18" max="18"/>
  </cols>
  <sheetData>
    <row r="1" ht="34" customHeight="1">
      <c r="A1" s="1" t="inlineStr">
        <is>
          <t>TADBEER TRANSFORMATIONS │ A/B TESTING LOG</t>
        </is>
      </c>
    </row>
    <row r="2" ht="16" customHeight="1">
      <c r="A2" s="2" t="inlineStr">
        <is>
          <t>Weekly 50/50 split test across 100 outbound targets per test. Lock winner, introduce new variant next week. Tests: Opening Hooks, Value Pillars, CTAs.</t>
        </is>
      </c>
    </row>
    <row r="3" ht="28" customHeight="1">
      <c r="A3" s="3" t="inlineStr">
        <is>
          <t>Test ID</t>
        </is>
      </c>
      <c r="B3" s="3" t="inlineStr">
        <is>
          <t>Week</t>
        </is>
      </c>
      <c r="C3" s="3" t="inlineStr">
        <is>
          <t>Week Start Date</t>
        </is>
      </c>
      <c r="D3" s="3" t="inlineStr">
        <is>
          <t>Test Type</t>
        </is>
      </c>
      <c r="E3" s="3" t="inlineStr">
        <is>
          <t>Channel</t>
        </is>
      </c>
      <c r="F3" s="3" t="inlineStr">
        <is>
          <t>Variant A — Description</t>
        </is>
      </c>
      <c r="G3" s="3" t="inlineStr">
        <is>
          <t>Variant A Sends</t>
        </is>
      </c>
      <c r="H3" s="3" t="inlineStr">
        <is>
          <t>Variant A Replies</t>
        </is>
      </c>
      <c r="I3" s="3" t="inlineStr">
        <is>
          <t>Variant A Reply Rate</t>
        </is>
      </c>
      <c r="J3" s="3" t="inlineStr">
        <is>
          <t>Variant B — Description</t>
        </is>
      </c>
      <c r="K3" s="3" t="inlineStr">
        <is>
          <t>Variant B Sends</t>
        </is>
      </c>
      <c r="L3" s="3" t="inlineStr">
        <is>
          <t>Variant B Replies</t>
        </is>
      </c>
      <c r="M3" s="3" t="inlineStr">
        <is>
          <t>Variant B Reply Rate</t>
        </is>
      </c>
      <c r="N3" s="3" t="inlineStr">
        <is>
          <t>Statistical Winner</t>
        </is>
      </c>
      <c r="O3" s="3" t="inlineStr">
        <is>
          <t>Winner Reply Rate</t>
        </is>
      </c>
      <c r="P3" s="3" t="inlineStr">
        <is>
          <t>Action Taken</t>
        </is>
      </c>
      <c r="Q3" s="3" t="inlineStr">
        <is>
          <t>Next Test Focus</t>
        </is>
      </c>
      <c r="R3" s="3" t="inlineStr">
        <is>
          <t>Notes</t>
        </is>
      </c>
    </row>
    <row r="4" ht="18" customHeight="1">
      <c r="A4" s="4" t="inlineStr">
        <is>
          <t>AB-XXX</t>
        </is>
      </c>
      <c r="B4" s="4" t="inlineStr">
        <is>
          <t>W1/W2…</t>
        </is>
      </c>
      <c r="C4" s="4" t="inlineStr">
        <is>
          <t>DD/MM/YY</t>
        </is>
      </c>
      <c r="D4" s="4" t="inlineStr">
        <is>
          <t>Hook/Pillar/CTA</t>
        </is>
      </c>
      <c r="E4" s="4" t="inlineStr">
        <is>
          <t>Channel</t>
        </is>
      </c>
      <c r="F4" s="4" t="inlineStr">
        <is>
          <t>Variant A text</t>
        </is>
      </c>
      <c r="G4" s="4" t="inlineStr">
        <is>
          <t>50 targets</t>
        </is>
      </c>
      <c r="H4" s="4" t="inlineStr">
        <is>
          <t>Replies</t>
        </is>
      </c>
      <c r="I4" s="4">
        <f>C/B</f>
        <v/>
      </c>
      <c r="J4" s="4" t="inlineStr">
        <is>
          <t>Variant B text</t>
        </is>
      </c>
      <c r="K4" s="4" t="inlineStr">
        <is>
          <t>50 targets</t>
        </is>
      </c>
      <c r="L4" s="4" t="inlineStr">
        <is>
          <t>Replies</t>
        </is>
      </c>
      <c r="M4" s="4">
        <f>F/E</f>
        <v/>
      </c>
      <c r="N4" s="4" t="inlineStr">
        <is>
          <t>A or B</t>
        </is>
      </c>
      <c r="O4" s="4" t="inlineStr">
        <is>
          <t>Winner %</t>
        </is>
      </c>
      <c r="P4" s="4" t="inlineStr">
        <is>
          <t>Lock winner</t>
        </is>
      </c>
      <c r="Q4" s="4" t="inlineStr">
        <is>
          <t>Next variable</t>
        </is>
      </c>
      <c r="R4" s="4" t="inlineStr">
        <is>
          <t>Observations</t>
        </is>
      </c>
    </row>
    <row r="5" ht="18" customHeight="1">
      <c r="A5" s="7" t="inlineStr">
        <is>
          <t>AB-001</t>
        </is>
      </c>
      <c r="B5" s="7" t="inlineStr">
        <is>
          <t>W1</t>
        </is>
      </c>
      <c r="C5" s="7" t="inlineStr">
        <is>
          <t>07/07/2026</t>
        </is>
      </c>
      <c r="D5" s="7" t="inlineStr">
        <is>
          <t>Opening Hook</t>
        </is>
      </c>
      <c r="E5" s="7" t="inlineStr">
        <is>
          <t>WhatsApp</t>
        </is>
      </c>
      <c r="F5" s="7" t="inlineStr">
        <is>
          <t>Fawtara deadline hook: 'Most firms we talk to are scrambling to prep for e-invoicing…'</t>
        </is>
      </c>
      <c r="G5" s="7" t="n">
        <v>50</v>
      </c>
      <c r="H5" s="7" t="n">
        <v>22</v>
      </c>
      <c r="I5" s="13">
        <f>H5/G5</f>
        <v/>
      </c>
      <c r="J5" s="7" t="inlineStr">
        <is>
          <t>Pain hook: 'Most Omani businesses are running on broken workflows. Here's what that costs…'</t>
        </is>
      </c>
      <c r="K5" s="7" t="n">
        <v>50</v>
      </c>
      <c r="L5" s="7" t="n">
        <v>15</v>
      </c>
      <c r="M5" s="13">
        <f>L5/K5</f>
        <v/>
      </c>
      <c r="N5" s="7" t="inlineStr">
        <is>
          <t>Variant A</t>
        </is>
      </c>
      <c r="O5" s="13">
        <f>I5</f>
        <v/>
      </c>
      <c r="P5" s="7" t="inlineStr">
        <is>
          <t>Lock Variant A as baseline WA opener</t>
        </is>
      </c>
      <c r="Q5" s="7" t="inlineStr">
        <is>
          <t>Test Value Pillar: Cost Reduction vs Risk Avoidance</t>
        </is>
      </c>
      <c r="R5" s="7" t="inlineStr">
        <is>
          <t>Fawtara hook significantly outperformed pain hook</t>
        </is>
      </c>
    </row>
    <row r="6" ht="18" customHeight="1">
      <c r="A6" s="6" t="inlineStr">
        <is>
          <t>AB-002</t>
        </is>
      </c>
      <c r="B6" s="6" t="inlineStr">
        <is>
          <t>W2</t>
        </is>
      </c>
      <c r="C6" s="6" t="inlineStr">
        <is>
          <t>14/07/2026</t>
        </is>
      </c>
      <c r="D6" s="6" t="inlineStr">
        <is>
          <t>CTA Type</t>
        </is>
      </c>
      <c r="E6" s="6" t="inlineStr">
        <is>
          <t>LinkedIn</t>
        </is>
      </c>
      <c r="F6" s="6" t="inlineStr">
        <is>
          <t>Soft CTA: Offer free checklist</t>
        </is>
      </c>
      <c r="G6" s="6" t="n">
        <v>50</v>
      </c>
      <c r="H6" s="6" t="n">
        <v>8</v>
      </c>
      <c r="I6" s="11">
        <f>H6/G6</f>
        <v/>
      </c>
      <c r="J6" s="6" t="inlineStr">
        <is>
          <t>Direct CTA: Offer 15-min diagnostic call</t>
        </is>
      </c>
      <c r="K6" s="6" t="n">
        <v>50</v>
      </c>
      <c r="L6" s="6" t="n">
        <v>5</v>
      </c>
      <c r="M6" s="11">
        <f>L6/K6</f>
        <v/>
      </c>
      <c r="N6" s="6" t="inlineStr">
        <is>
          <t>Variant A</t>
        </is>
      </c>
      <c r="O6" s="11">
        <f>I6</f>
        <v/>
      </c>
      <c r="P6" s="6" t="inlineStr">
        <is>
          <t>Soft CTA wins. Use checklist first.</t>
        </is>
      </c>
      <c r="Q6" s="6" t="inlineStr">
        <is>
          <t>Test connection note vs no note</t>
        </is>
      </c>
      <c r="R6" s="6" t="inlineStr">
        <is>
          <t>Lower commitment CTA converts better on LI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13" t="n"/>
      <c r="J7" s="7" t="n"/>
      <c r="K7" s="7" t="n"/>
      <c r="L7" s="7" t="n"/>
      <c r="M7" s="13" t="n"/>
      <c r="N7" s="7" t="n"/>
      <c r="O7" s="13" t="n"/>
      <c r="P7" s="7" t="n"/>
      <c r="Q7" s="7" t="n"/>
      <c r="R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11" t="n"/>
      <c r="J8" s="6" t="n"/>
      <c r="K8" s="6" t="n"/>
      <c r="L8" s="6" t="n"/>
      <c r="M8" s="11" t="n"/>
      <c r="N8" s="6" t="n"/>
      <c r="O8" s="11" t="n"/>
      <c r="P8" s="6" t="n"/>
      <c r="Q8" s="6" t="n"/>
      <c r="R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13" t="n"/>
      <c r="J9" s="7" t="n"/>
      <c r="K9" s="7" t="n"/>
      <c r="L9" s="7" t="n"/>
      <c r="M9" s="13" t="n"/>
      <c r="N9" s="7" t="n"/>
      <c r="O9" s="13" t="n"/>
      <c r="P9" s="7" t="n"/>
      <c r="Q9" s="7" t="n"/>
      <c r="R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11" t="n"/>
      <c r="J10" s="6" t="n"/>
      <c r="K10" s="6" t="n"/>
      <c r="L10" s="6" t="n"/>
      <c r="M10" s="11" t="n"/>
      <c r="N10" s="6" t="n"/>
      <c r="O10" s="11" t="n"/>
      <c r="P10" s="6" t="n"/>
      <c r="Q10" s="6" t="n"/>
      <c r="R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13" t="n"/>
      <c r="J11" s="7" t="n"/>
      <c r="K11" s="7" t="n"/>
      <c r="L11" s="7" t="n"/>
      <c r="M11" s="13" t="n"/>
      <c r="N11" s="7" t="n"/>
      <c r="O11" s="13" t="n"/>
      <c r="P11" s="7" t="n"/>
      <c r="Q11" s="7" t="n"/>
      <c r="R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11" t="n"/>
      <c r="J12" s="6" t="n"/>
      <c r="K12" s="6" t="n"/>
      <c r="L12" s="6" t="n"/>
      <c r="M12" s="11" t="n"/>
      <c r="N12" s="6" t="n"/>
      <c r="O12" s="11" t="n"/>
      <c r="P12" s="6" t="n"/>
      <c r="Q12" s="6" t="n"/>
      <c r="R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13" t="n"/>
      <c r="J13" s="7" t="n"/>
      <c r="K13" s="7" t="n"/>
      <c r="L13" s="7" t="n"/>
      <c r="M13" s="13" t="n"/>
      <c r="N13" s="7" t="n"/>
      <c r="O13" s="13" t="n"/>
      <c r="P13" s="7" t="n"/>
      <c r="Q13" s="7" t="n"/>
      <c r="R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11" t="n"/>
      <c r="J14" s="6" t="n"/>
      <c r="K14" s="6" t="n"/>
      <c r="L14" s="6" t="n"/>
      <c r="M14" s="11" t="n"/>
      <c r="N14" s="6" t="n"/>
      <c r="O14" s="11" t="n"/>
      <c r="P14" s="6" t="n"/>
      <c r="Q14" s="6" t="n"/>
      <c r="R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13" t="n"/>
      <c r="J15" s="7" t="n"/>
      <c r="K15" s="7" t="n"/>
      <c r="L15" s="7" t="n"/>
      <c r="M15" s="13" t="n"/>
      <c r="N15" s="7" t="n"/>
      <c r="O15" s="13" t="n"/>
      <c r="P15" s="7" t="n"/>
      <c r="Q15" s="7" t="n"/>
      <c r="R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11" t="n"/>
      <c r="J16" s="6" t="n"/>
      <c r="K16" s="6" t="n"/>
      <c r="L16" s="6" t="n"/>
      <c r="M16" s="11" t="n"/>
      <c r="N16" s="6" t="n"/>
      <c r="O16" s="11" t="n"/>
      <c r="P16" s="6" t="n"/>
      <c r="Q16" s="6" t="n"/>
      <c r="R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13" t="n"/>
      <c r="J17" s="7" t="n"/>
      <c r="K17" s="7" t="n"/>
      <c r="L17" s="7" t="n"/>
      <c r="M17" s="13" t="n"/>
      <c r="N17" s="7" t="n"/>
      <c r="O17" s="13" t="n"/>
      <c r="P17" s="7" t="n"/>
      <c r="Q17" s="7" t="n"/>
      <c r="R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11" t="n"/>
      <c r="J18" s="6" t="n"/>
      <c r="K18" s="6" t="n"/>
      <c r="L18" s="6" t="n"/>
      <c r="M18" s="11" t="n"/>
      <c r="N18" s="6" t="n"/>
      <c r="O18" s="11" t="n"/>
      <c r="P18" s="6" t="n"/>
      <c r="Q18" s="6" t="n"/>
      <c r="R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13" t="n"/>
      <c r="J19" s="7" t="n"/>
      <c r="K19" s="7" t="n"/>
      <c r="L19" s="7" t="n"/>
      <c r="M19" s="13" t="n"/>
      <c r="N19" s="7" t="n"/>
      <c r="O19" s="13" t="n"/>
      <c r="P19" s="7" t="n"/>
      <c r="Q19" s="7" t="n"/>
      <c r="R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11" t="n"/>
      <c r="J20" s="6" t="n"/>
      <c r="K20" s="6" t="n"/>
      <c r="L20" s="6" t="n"/>
      <c r="M20" s="11" t="n"/>
      <c r="N20" s="6" t="n"/>
      <c r="O20" s="11" t="n"/>
      <c r="P20" s="6" t="n"/>
      <c r="Q20" s="6" t="n"/>
      <c r="R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13" t="n"/>
      <c r="J21" s="7" t="n"/>
      <c r="K21" s="7" t="n"/>
      <c r="L21" s="7" t="n"/>
      <c r="M21" s="13" t="n"/>
      <c r="N21" s="7" t="n"/>
      <c r="O21" s="13" t="n"/>
      <c r="P21" s="7" t="n"/>
      <c r="Q21" s="7" t="n"/>
      <c r="R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11" t="n"/>
      <c r="J22" s="6" t="n"/>
      <c r="K22" s="6" t="n"/>
      <c r="L22" s="6" t="n"/>
      <c r="M22" s="11" t="n"/>
      <c r="N22" s="6" t="n"/>
      <c r="O22" s="11" t="n"/>
      <c r="P22" s="6" t="n"/>
      <c r="Q22" s="6" t="n"/>
      <c r="R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13" t="n"/>
      <c r="J23" s="7" t="n"/>
      <c r="K23" s="7" t="n"/>
      <c r="L23" s="7" t="n"/>
      <c r="M23" s="13" t="n"/>
      <c r="N23" s="7" t="n"/>
      <c r="O23" s="13" t="n"/>
      <c r="P23" s="7" t="n"/>
      <c r="Q23" s="7" t="n"/>
      <c r="R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11" t="n"/>
      <c r="J24" s="6" t="n"/>
      <c r="K24" s="6" t="n"/>
      <c r="L24" s="6" t="n"/>
      <c r="M24" s="11" t="n"/>
      <c r="N24" s="6" t="n"/>
      <c r="O24" s="11" t="n"/>
      <c r="P24" s="6" t="n"/>
      <c r="Q24" s="6" t="n"/>
      <c r="R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13" t="n"/>
      <c r="J25" s="7" t="n"/>
      <c r="K25" s="7" t="n"/>
      <c r="L25" s="7" t="n"/>
      <c r="M25" s="13" t="n"/>
      <c r="N25" s="7" t="n"/>
      <c r="O25" s="13" t="n"/>
      <c r="P25" s="7" t="n"/>
      <c r="Q25" s="7" t="n"/>
      <c r="R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11" t="n"/>
      <c r="J26" s="6" t="n"/>
      <c r="K26" s="6" t="n"/>
      <c r="L26" s="6" t="n"/>
      <c r="M26" s="11" t="n"/>
      <c r="N26" s="6" t="n"/>
      <c r="O26" s="11" t="n"/>
      <c r="P26" s="6" t="n"/>
      <c r="Q26" s="6" t="n"/>
      <c r="R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13" t="n"/>
      <c r="J27" s="7" t="n"/>
      <c r="K27" s="7" t="n"/>
      <c r="L27" s="7" t="n"/>
      <c r="M27" s="13" t="n"/>
      <c r="N27" s="7" t="n"/>
      <c r="O27" s="13" t="n"/>
      <c r="P27" s="7" t="n"/>
      <c r="Q27" s="7" t="n"/>
      <c r="R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11" t="n"/>
      <c r="J28" s="6" t="n"/>
      <c r="K28" s="6" t="n"/>
      <c r="L28" s="6" t="n"/>
      <c r="M28" s="11" t="n"/>
      <c r="N28" s="6" t="n"/>
      <c r="O28" s="11" t="n"/>
      <c r="P28" s="6" t="n"/>
      <c r="Q28" s="6" t="n"/>
      <c r="R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13" t="n"/>
      <c r="J29" s="7" t="n"/>
      <c r="K29" s="7" t="n"/>
      <c r="L29" s="7" t="n"/>
      <c r="M29" s="13" t="n"/>
      <c r="N29" s="7" t="n"/>
      <c r="O29" s="13" t="n"/>
      <c r="P29" s="7" t="n"/>
      <c r="Q29" s="7" t="n"/>
      <c r="R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11" t="n"/>
      <c r="J30" s="6" t="n"/>
      <c r="K30" s="6" t="n"/>
      <c r="L30" s="6" t="n"/>
      <c r="M30" s="11" t="n"/>
      <c r="N30" s="6" t="n"/>
      <c r="O30" s="11" t="n"/>
      <c r="P30" s="6" t="n"/>
      <c r="Q30" s="6" t="n"/>
      <c r="R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13" t="n"/>
      <c r="J31" s="7" t="n"/>
      <c r="K31" s="7" t="n"/>
      <c r="L31" s="7" t="n"/>
      <c r="M31" s="13" t="n"/>
      <c r="N31" s="7" t="n"/>
      <c r="O31" s="13" t="n"/>
      <c r="P31" s="7" t="n"/>
      <c r="Q31" s="7" t="n"/>
      <c r="R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11" t="n"/>
      <c r="J32" s="6" t="n"/>
      <c r="K32" s="6" t="n"/>
      <c r="L32" s="6" t="n"/>
      <c r="M32" s="11" t="n"/>
      <c r="N32" s="6" t="n"/>
      <c r="O32" s="11" t="n"/>
      <c r="P32" s="6" t="n"/>
      <c r="Q32" s="6" t="n"/>
      <c r="R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13" t="n"/>
      <c r="J33" s="7" t="n"/>
      <c r="K33" s="7" t="n"/>
      <c r="L33" s="7" t="n"/>
      <c r="M33" s="13" t="n"/>
      <c r="N33" s="7" t="n"/>
      <c r="O33" s="13" t="n"/>
      <c r="P33" s="7" t="n"/>
      <c r="Q33" s="7" t="n"/>
      <c r="R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11" t="n"/>
      <c r="J34" s="6" t="n"/>
      <c r="K34" s="6" t="n"/>
      <c r="L34" s="6" t="n"/>
      <c r="M34" s="11" t="n"/>
      <c r="N34" s="6" t="n"/>
      <c r="O34" s="11" t="n"/>
      <c r="P34" s="6" t="n"/>
      <c r="Q34" s="6" t="n"/>
      <c r="R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13" t="n"/>
      <c r="J35" s="7" t="n"/>
      <c r="K35" s="7" t="n"/>
      <c r="L35" s="7" t="n"/>
      <c r="M35" s="13" t="n"/>
      <c r="N35" s="7" t="n"/>
      <c r="O35" s="13" t="n"/>
      <c r="P35" s="7" t="n"/>
      <c r="Q35" s="7" t="n"/>
      <c r="R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11" t="n"/>
      <c r="J36" s="6" t="n"/>
      <c r="K36" s="6" t="n"/>
      <c r="L36" s="6" t="n"/>
      <c r="M36" s="11" t="n"/>
      <c r="N36" s="6" t="n"/>
      <c r="O36" s="11" t="n"/>
      <c r="P36" s="6" t="n"/>
      <c r="Q36" s="6" t="n"/>
      <c r="R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13" t="n"/>
      <c r="J37" s="7" t="n"/>
      <c r="K37" s="7" t="n"/>
      <c r="L37" s="7" t="n"/>
      <c r="M37" s="13" t="n"/>
      <c r="N37" s="7" t="n"/>
      <c r="O37" s="13" t="n"/>
      <c r="P37" s="7" t="n"/>
      <c r="Q37" s="7" t="n"/>
      <c r="R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11" t="n"/>
      <c r="J38" s="6" t="n"/>
      <c r="K38" s="6" t="n"/>
      <c r="L38" s="6" t="n"/>
      <c r="M38" s="11" t="n"/>
      <c r="N38" s="6" t="n"/>
      <c r="O38" s="11" t="n"/>
      <c r="P38" s="6" t="n"/>
      <c r="Q38" s="6" t="n"/>
      <c r="R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13" t="n"/>
      <c r="J39" s="7" t="n"/>
      <c r="K39" s="7" t="n"/>
      <c r="L39" s="7" t="n"/>
      <c r="M39" s="13" t="n"/>
      <c r="N39" s="7" t="n"/>
      <c r="O39" s="13" t="n"/>
      <c r="P39" s="7" t="n"/>
      <c r="Q39" s="7" t="n"/>
      <c r="R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11" t="n"/>
      <c r="J40" s="6" t="n"/>
      <c r="K40" s="6" t="n"/>
      <c r="L40" s="6" t="n"/>
      <c r="M40" s="11" t="n"/>
      <c r="N40" s="6" t="n"/>
      <c r="O40" s="11" t="n"/>
      <c r="P40" s="6" t="n"/>
      <c r="Q40" s="6" t="n"/>
      <c r="R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13" t="n"/>
      <c r="J41" s="7" t="n"/>
      <c r="K41" s="7" t="n"/>
      <c r="L41" s="7" t="n"/>
      <c r="M41" s="13" t="n"/>
      <c r="N41" s="7" t="n"/>
      <c r="O41" s="13" t="n"/>
      <c r="P41" s="7" t="n"/>
      <c r="Q41" s="7" t="n"/>
      <c r="R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11" t="n"/>
      <c r="J42" s="6" t="n"/>
      <c r="K42" s="6" t="n"/>
      <c r="L42" s="6" t="n"/>
      <c r="M42" s="11" t="n"/>
      <c r="N42" s="6" t="n"/>
      <c r="O42" s="11" t="n"/>
      <c r="P42" s="6" t="n"/>
      <c r="Q42" s="6" t="n"/>
      <c r="R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13" t="n"/>
      <c r="J43" s="7" t="n"/>
      <c r="K43" s="7" t="n"/>
      <c r="L43" s="7" t="n"/>
      <c r="M43" s="13" t="n"/>
      <c r="N43" s="7" t="n"/>
      <c r="O43" s="13" t="n"/>
      <c r="P43" s="7" t="n"/>
      <c r="Q43" s="7" t="n"/>
      <c r="R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11" t="n"/>
      <c r="J44" s="6" t="n"/>
      <c r="K44" s="6" t="n"/>
      <c r="L44" s="6" t="n"/>
      <c r="M44" s="11" t="n"/>
      <c r="N44" s="6" t="n"/>
      <c r="O44" s="11" t="n"/>
      <c r="P44" s="6" t="n"/>
      <c r="Q44" s="6" t="n"/>
      <c r="R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13" t="n"/>
      <c r="J45" s="7" t="n"/>
      <c r="K45" s="7" t="n"/>
      <c r="L45" s="7" t="n"/>
      <c r="M45" s="13" t="n"/>
      <c r="N45" s="7" t="n"/>
      <c r="O45" s="13" t="n"/>
      <c r="P45" s="7" t="n"/>
      <c r="Q45" s="7" t="n"/>
      <c r="R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11" t="n"/>
      <c r="J46" s="6" t="n"/>
      <c r="K46" s="6" t="n"/>
      <c r="L46" s="6" t="n"/>
      <c r="M46" s="11" t="n"/>
      <c r="N46" s="6" t="n"/>
      <c r="O46" s="11" t="n"/>
      <c r="P46" s="6" t="n"/>
      <c r="Q46" s="6" t="n"/>
      <c r="R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13" t="n"/>
      <c r="J47" s="7" t="n"/>
      <c r="K47" s="7" t="n"/>
      <c r="L47" s="7" t="n"/>
      <c r="M47" s="13" t="n"/>
      <c r="N47" s="7" t="n"/>
      <c r="O47" s="13" t="n"/>
      <c r="P47" s="7" t="n"/>
      <c r="Q47" s="7" t="n"/>
      <c r="R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11" t="n"/>
      <c r="J48" s="6" t="n"/>
      <c r="K48" s="6" t="n"/>
      <c r="L48" s="6" t="n"/>
      <c r="M48" s="11" t="n"/>
      <c r="N48" s="6" t="n"/>
      <c r="O48" s="11" t="n"/>
      <c r="P48" s="6" t="n"/>
      <c r="Q48" s="6" t="n"/>
      <c r="R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13" t="n"/>
      <c r="J49" s="7" t="n"/>
      <c r="K49" s="7" t="n"/>
      <c r="L49" s="7" t="n"/>
      <c r="M49" s="13" t="n"/>
      <c r="N49" s="7" t="n"/>
      <c r="O49" s="13" t="n"/>
      <c r="P49" s="7" t="n"/>
      <c r="Q49" s="7" t="n"/>
      <c r="R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11" t="n"/>
      <c r="J50" s="6" t="n"/>
      <c r="K50" s="6" t="n"/>
      <c r="L50" s="6" t="n"/>
      <c r="M50" s="11" t="n"/>
      <c r="N50" s="6" t="n"/>
      <c r="O50" s="11" t="n"/>
      <c r="P50" s="6" t="n"/>
      <c r="Q50" s="6" t="n"/>
      <c r="R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13" t="n"/>
      <c r="J51" s="7" t="n"/>
      <c r="K51" s="7" t="n"/>
      <c r="L51" s="7" t="n"/>
      <c r="M51" s="13" t="n"/>
      <c r="N51" s="7" t="n"/>
      <c r="O51" s="13" t="n"/>
      <c r="P51" s="7" t="n"/>
      <c r="Q51" s="7" t="n"/>
      <c r="R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11" t="n"/>
      <c r="J52" s="6" t="n"/>
      <c r="K52" s="6" t="n"/>
      <c r="L52" s="6" t="n"/>
      <c r="M52" s="11" t="n"/>
      <c r="N52" s="6" t="n"/>
      <c r="O52" s="11" t="n"/>
      <c r="P52" s="6" t="n"/>
      <c r="Q52" s="6" t="n"/>
      <c r="R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13" t="n"/>
      <c r="J53" s="7" t="n"/>
      <c r="K53" s="7" t="n"/>
      <c r="L53" s="7" t="n"/>
      <c r="M53" s="13" t="n"/>
      <c r="N53" s="7" t="n"/>
      <c r="O53" s="13" t="n"/>
      <c r="P53" s="7" t="n"/>
      <c r="Q53" s="7" t="n"/>
      <c r="R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11" t="n"/>
      <c r="J54" s="6" t="n"/>
      <c r="K54" s="6" t="n"/>
      <c r="L54" s="6" t="n"/>
      <c r="M54" s="11" t="n"/>
      <c r="N54" s="6" t="n"/>
      <c r="O54" s="11" t="n"/>
      <c r="P54" s="6" t="n"/>
      <c r="Q54" s="6" t="n"/>
      <c r="R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13" t="n"/>
      <c r="J55" s="7" t="n"/>
      <c r="K55" s="7" t="n"/>
      <c r="L55" s="7" t="n"/>
      <c r="M55" s="13" t="n"/>
      <c r="N55" s="7" t="n"/>
      <c r="O55" s="13" t="n"/>
      <c r="P55" s="7" t="n"/>
      <c r="Q55" s="7" t="n"/>
      <c r="R55" s="7" t="n"/>
    </row>
  </sheetData>
  <mergeCells count="2">
    <mergeCell ref="A2:Q2"/>
    <mergeCell ref="A1:Q1"/>
  </mergeCells>
  <dataValidations count="3">
    <dataValidation sqref="D5:D55" showDropDown="0" showInputMessage="1" showErrorMessage="0" allowBlank="1" promptTitle="Select" prompt="Test type" type="list">
      <formula1>"Opening Hook,Value Pillar,CTA Type,Message Length,Personalization Level,Timing (Day sent)"</formula1>
    </dataValidation>
    <dataValidation sqref="E5:E55" showDropDown="0" showInputMessage="1" showErrorMessage="0" allowBlank="1" promptTitle="Select" prompt="Channel" type="list">
      <formula1>"LinkedIn,WhatsApp,Email"</formula1>
    </dataValidation>
    <dataValidation sqref="N5:N55" showDropDown="0" showInputMessage="1" showErrorMessage="0" allowBlank="1" promptTitle="Select" prompt="Winner" type="list">
      <formula1>"Variant A,Variant B,Inconclusive,Still Running"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8" customWidth="1" min="16" max="16"/>
    <col width="10" customWidth="1" min="17" max="17"/>
    <col width="8" customWidth="1" min="18" max="18"/>
    <col width="14" customWidth="1" min="19" max="19"/>
    <col width="14" customWidth="1" min="20" max="20"/>
    <col width="28" customWidth="1" min="21" max="21"/>
  </cols>
  <sheetData>
    <row r="1" ht="34" customHeight="1">
      <c r="A1" s="1" t="inlineStr">
        <is>
          <t>TADBEER TRANSFORMATIONS │ WEEKLY PERFORMANCE REPORT</t>
        </is>
      </c>
    </row>
    <row r="2" ht="16" customHeight="1">
      <c r="A2" s="2" t="inlineStr">
        <is>
          <t>Fill every Sunday. Review Red Flags immediately. If benchmark missed 2+ consecutive weeks — pivot messaging, ICP, or CTA per Section 8.4 of Strategy Deck.</t>
        </is>
      </c>
    </row>
    <row r="3" ht="28" customHeight="1">
      <c r="A3" s="3" t="inlineStr">
        <is>
          <t>Week</t>
        </is>
      </c>
      <c r="B3" s="3" t="inlineStr">
        <is>
          <t>Week Start</t>
        </is>
      </c>
      <c r="C3" s="3" t="inlineStr">
        <is>
          <t>Leads Added</t>
        </is>
      </c>
      <c r="D3" s="3" t="inlineStr">
        <is>
          <t>Total Touches</t>
        </is>
      </c>
      <c r="E3" s="3" t="inlineStr">
        <is>
          <t>LI Touches</t>
        </is>
      </c>
      <c r="F3" s="3" t="inlineStr">
        <is>
          <t>WA Touches</t>
        </is>
      </c>
      <c r="G3" s="3" t="inlineStr">
        <is>
          <t>Email Touches</t>
        </is>
      </c>
      <c r="H3" s="3" t="inlineStr">
        <is>
          <t>Calls Made</t>
        </is>
      </c>
      <c r="I3" s="3" t="inlineStr">
        <is>
          <t>Total Responses</t>
        </is>
      </c>
      <c r="J3" s="3" t="inlineStr">
        <is>
          <t>LI Reply Rate</t>
        </is>
      </c>
      <c r="K3" s="3" t="inlineStr">
        <is>
          <t>WA Reply Rate</t>
        </is>
      </c>
      <c r="L3" s="3" t="inlineStr">
        <is>
          <t>Email Reply Rate</t>
        </is>
      </c>
      <c r="M3" s="3" t="inlineStr">
        <is>
          <t>Avg Close Rate</t>
        </is>
      </c>
      <c r="N3" s="3" t="inlineStr">
        <is>
          <t>Meetings Booked</t>
        </is>
      </c>
      <c r="O3" s="3" t="inlineStr">
        <is>
          <t>Meetings Completed</t>
        </is>
      </c>
      <c r="P3" s="3" t="inlineStr">
        <is>
          <t>No Shows</t>
        </is>
      </c>
      <c r="Q3" s="3" t="inlineStr">
        <is>
          <t>Proposals Sent</t>
        </is>
      </c>
      <c r="R3" s="3" t="inlineStr">
        <is>
          <t>Deals Won</t>
        </is>
      </c>
      <c r="S3" s="3" t="inlineStr">
        <is>
          <t>Revenue Closed (OMR)</t>
        </is>
      </c>
      <c r="T3" s="3" t="inlineStr">
        <is>
          <t>Pipeline Value (OMR)</t>
        </is>
      </c>
      <c r="U3" s="3" t="inlineStr">
        <is>
          <t>Key Observation / Blocker</t>
        </is>
      </c>
    </row>
    <row r="4" ht="18" customHeight="1">
      <c r="A4" s="4" t="inlineStr">
        <is>
          <t>W1…</t>
        </is>
      </c>
      <c r="B4" s="4" t="inlineStr">
        <is>
          <t>DD/MM/YY</t>
        </is>
      </c>
      <c r="C4" s="4" t="inlineStr">
        <is>
          <t>New</t>
        </is>
      </c>
      <c r="D4" s="4" t="inlineStr">
        <is>
          <t>All channels</t>
        </is>
      </c>
      <c r="E4" s="4" t="inlineStr">
        <is>
          <t>LI total</t>
        </is>
      </c>
      <c r="F4" s="4" t="inlineStr">
        <is>
          <t>WA total</t>
        </is>
      </c>
      <c r="G4" s="4" t="inlineStr">
        <is>
          <t>Email total</t>
        </is>
      </c>
      <c r="H4" s="4" t="inlineStr">
        <is>
          <t>Calls</t>
        </is>
      </c>
      <c r="I4" s="4" t="inlineStr">
        <is>
          <t>All replies</t>
        </is>
      </c>
      <c r="J4" s="4" t="inlineStr">
        <is>
          <t>Target≥12%</t>
        </is>
      </c>
      <c r="K4" s="4" t="inlineStr">
        <is>
          <t>Target≥60%</t>
        </is>
      </c>
      <c r="L4" s="4" t="inlineStr">
        <is>
          <t>Target≥7%</t>
        </is>
      </c>
      <c r="M4" s="4" t="inlineStr">
        <is>
          <t>Target≥20%</t>
        </is>
      </c>
      <c r="N4" s="4" t="inlineStr">
        <is>
          <t>Set</t>
        </is>
      </c>
      <c r="O4" s="4" t="inlineStr">
        <is>
          <t>Done</t>
        </is>
      </c>
      <c r="P4" s="4" t="inlineStr">
        <is>
          <t>NS</t>
        </is>
      </c>
      <c r="Q4" s="4" t="inlineStr">
        <is>
          <t>Sent</t>
        </is>
      </c>
      <c r="R4" s="4" t="inlineStr">
        <is>
          <t>Won</t>
        </is>
      </c>
      <c r="S4" s="4" t="inlineStr">
        <is>
          <t>OMR closed</t>
        </is>
      </c>
      <c r="T4" s="4" t="inlineStr">
        <is>
          <t>Total pipeline</t>
        </is>
      </c>
      <c r="U4" s="4" t="inlineStr">
        <is>
          <t>Wins &amp; blockers</t>
        </is>
      </c>
    </row>
    <row r="5" ht="22" customHeight="1">
      <c r="A5" s="37" t="inlineStr">
        <is>
          <t>BENCHMARKS</t>
        </is>
      </c>
      <c r="B5" s="37" t="inlineStr"/>
      <c r="C5" s="37" t="n">
        <v>20</v>
      </c>
      <c r="D5" s="37" t="n">
        <v>110</v>
      </c>
      <c r="E5" s="37" t="n">
        <v>30</v>
      </c>
      <c r="F5" s="37" t="n">
        <v>58</v>
      </c>
      <c r="G5" s="37" t="n">
        <v>43</v>
      </c>
      <c r="H5" s="37" t="n">
        <v>4</v>
      </c>
      <c r="I5" s="37" t="inlineStr"/>
      <c r="J5" s="37" t="inlineStr">
        <is>
          <t>12%</t>
        </is>
      </c>
      <c r="K5" s="37" t="inlineStr">
        <is>
          <t>60%</t>
        </is>
      </c>
      <c r="L5" s="37" t="inlineStr">
        <is>
          <t>7%</t>
        </is>
      </c>
      <c r="M5" s="37" t="inlineStr">
        <is>
          <t>20%</t>
        </is>
      </c>
      <c r="N5" s="37" t="n">
        <v>2</v>
      </c>
      <c r="O5" s="37" t="n">
        <v>2</v>
      </c>
      <c r="P5" s="37" t="n">
        <v>0</v>
      </c>
      <c r="Q5" s="37" t="n">
        <v>1</v>
      </c>
      <c r="R5" s="37" t="n">
        <v>0.5</v>
      </c>
      <c r="S5" s="37" t="inlineStr">
        <is>
          <t>1,050/mo</t>
        </is>
      </c>
      <c r="T5" s="37" t="inlineStr"/>
      <c r="U5" s="37" t="inlineStr">
        <is>
          <t>See Strategy Deck §8.1</t>
        </is>
      </c>
    </row>
    <row r="6" ht="18" customHeight="1">
      <c r="A6" s="6" t="inlineStr">
        <is>
          <t>W1</t>
        </is>
      </c>
      <c r="B6" s="6" t="inlineStr">
        <is>
          <t>07/07/2026</t>
        </is>
      </c>
      <c r="C6" s="6" t="n">
        <v>8</v>
      </c>
      <c r="D6" s="6" t="n">
        <v>45</v>
      </c>
      <c r="E6" s="6" t="n">
        <v>15</v>
      </c>
      <c r="F6" s="6" t="n">
        <v>25</v>
      </c>
      <c r="G6" s="6" t="n">
        <v>5</v>
      </c>
      <c r="H6" s="6" t="n">
        <v>3</v>
      </c>
      <c r="I6" s="6" t="n">
        <v>9</v>
      </c>
      <c r="J6" s="6" t="inlineStr">
        <is>
          <t>13%</t>
        </is>
      </c>
      <c r="K6" s="6" t="inlineStr">
        <is>
          <t>60%</t>
        </is>
      </c>
      <c r="L6" s="6" t="inlineStr">
        <is>
          <t>5%</t>
        </is>
      </c>
      <c r="M6" s="6" t="inlineStr">
        <is>
          <t>0%</t>
        </is>
      </c>
      <c r="N6" s="6" t="n">
        <v>1</v>
      </c>
      <c r="O6" s="6" t="n">
        <v>1</v>
      </c>
      <c r="P6" s="6" t="n">
        <v>0</v>
      </c>
      <c r="Q6" s="6" t="n">
        <v>0</v>
      </c>
      <c r="R6" s="6" t="n">
        <v>0</v>
      </c>
      <c r="S6" s="10" t="n">
        <v>0</v>
      </c>
      <c r="T6" s="10" t="n">
        <v>5000</v>
      </c>
      <c r="U6" s="6" t="inlineStr">
        <is>
          <t>Good WA rate. LinkedIn warming slowly. Email below benchmark.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12" t="n"/>
      <c r="T7" s="12" t="n"/>
      <c r="U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10" t="n"/>
      <c r="T8" s="10" t="n"/>
      <c r="U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12" t="n"/>
      <c r="T9" s="12" t="n"/>
      <c r="U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10" t="n"/>
      <c r="T10" s="10" t="n"/>
      <c r="U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12" t="n"/>
      <c r="T11" s="12" t="n"/>
      <c r="U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10" t="n"/>
      <c r="T12" s="10" t="n"/>
      <c r="U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12" t="n"/>
      <c r="T13" s="12" t="n"/>
      <c r="U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10" t="n"/>
      <c r="T14" s="10" t="n"/>
      <c r="U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12" t="n"/>
      <c r="T15" s="12" t="n"/>
      <c r="U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10" t="n"/>
      <c r="T16" s="10" t="n"/>
      <c r="U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12" t="n"/>
      <c r="T17" s="12" t="n"/>
      <c r="U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10" t="n"/>
      <c r="T18" s="10" t="n"/>
      <c r="U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12" t="n"/>
      <c r="T19" s="12" t="n"/>
      <c r="U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10" t="n"/>
      <c r="T20" s="10" t="n"/>
      <c r="U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12" t="n"/>
      <c r="T21" s="12" t="n"/>
      <c r="U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10" t="n"/>
      <c r="T22" s="10" t="n"/>
      <c r="U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12" t="n"/>
      <c r="T23" s="12" t="n"/>
      <c r="U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10" t="n"/>
      <c r="T24" s="10" t="n"/>
      <c r="U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12" t="n"/>
      <c r="T25" s="12" t="n"/>
      <c r="U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10" t="n"/>
      <c r="T26" s="10" t="n"/>
      <c r="U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12" t="n"/>
      <c r="T27" s="12" t="n"/>
      <c r="U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10" t="n"/>
      <c r="T28" s="10" t="n"/>
      <c r="U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12" t="n"/>
      <c r="T29" s="12" t="n"/>
      <c r="U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10" t="n"/>
      <c r="T30" s="10" t="n"/>
      <c r="U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12" t="n"/>
      <c r="T31" s="12" t="n"/>
      <c r="U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10" t="n"/>
      <c r="T32" s="10" t="n"/>
      <c r="U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12" t="n"/>
      <c r="T33" s="12" t="n"/>
      <c r="U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10" t="n"/>
      <c r="T34" s="10" t="n"/>
      <c r="U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12" t="n"/>
      <c r="T35" s="12" t="n"/>
      <c r="U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10" t="n"/>
      <c r="T36" s="10" t="n"/>
      <c r="U36" s="6" t="n"/>
    </row>
    <row r="39" ht="20" customHeight="1">
      <c r="A39" s="38" t="inlineStr">
        <is>
          <t>RED FLAG ALERT SYSTEM (Strategy Deck §8.4) — Auto-checks against your entered data</t>
        </is>
      </c>
    </row>
    <row r="40" ht="28" customHeight="1">
      <c r="A40" s="39" t="inlineStr">
        <is>
          <t>Red Flag</t>
        </is>
      </c>
      <c r="B40" s="39" t="inlineStr">
        <is>
          <t>Trigger Condition</t>
        </is>
      </c>
      <c r="C40" s="39" t="inlineStr">
        <is>
          <t>Check Period</t>
        </is>
      </c>
      <c r="D40" s="39" t="inlineStr">
        <is>
          <t>Current Status</t>
        </is>
      </c>
      <c r="E40" s="39" t="inlineStr">
        <is>
          <t>Action Required</t>
        </is>
      </c>
    </row>
    <row r="41" ht="42" customHeight="1">
      <c r="A41" s="40" t="inlineStr">
        <is>
          <t>Reply Rate &lt; 5%</t>
        </is>
      </c>
      <c r="B41" s="41" t="inlineStr">
        <is>
          <t>If ANY channel reply rate drops below 5% for 2+ consecutive weeks</t>
        </is>
      </c>
      <c r="C41" s="42" t="n"/>
      <c r="D41" s="42" t="n"/>
      <c r="E41" s="42" t="n"/>
      <c r="F41" s="42" t="n"/>
      <c r="G41" s="42" t="n"/>
      <c r="H41" s="43" t="n"/>
    </row>
    <row r="42" ht="42" customHeight="1">
      <c r="A42" s="44" t="inlineStr">
        <is>
          <t>Meeting Rate &lt; 2%</t>
        </is>
      </c>
      <c r="B42" s="45" t="inlineStr">
        <is>
          <t>If meetings booked per 100 touches drops below 2 for 4+ consecutive weeks</t>
        </is>
      </c>
      <c r="C42" s="42" t="n"/>
      <c r="D42" s="42" t="n"/>
      <c r="E42" s="42" t="n"/>
      <c r="F42" s="42" t="n"/>
      <c r="G42" s="42" t="n"/>
      <c r="H42" s="43" t="n"/>
    </row>
    <row r="43" ht="42" customHeight="1">
      <c r="A43" s="40" t="inlineStr">
        <is>
          <t>Close Rate &lt; 15%</t>
        </is>
      </c>
      <c r="B43" s="41" t="inlineStr">
        <is>
          <t>If deals won / qualified meetings falls below 15% over 6 weeks</t>
        </is>
      </c>
      <c r="C43" s="42" t="n"/>
      <c r="D43" s="42" t="n"/>
      <c r="E43" s="42" t="n"/>
      <c r="F43" s="42" t="n"/>
      <c r="G43" s="42" t="n"/>
      <c r="H43" s="43" t="n"/>
    </row>
    <row r="44" ht="42" customHeight="1">
      <c r="A44" s="44" t="inlineStr">
        <is>
          <t>WA Reply &lt; 40%</t>
        </is>
      </c>
      <c r="B44" s="45" t="inlineStr">
        <is>
          <t>If WhatsApp reply rate drops below 40% (well below 60% target) for 1 week</t>
        </is>
      </c>
      <c r="C44" s="42" t="n"/>
      <c r="D44" s="42" t="n"/>
      <c r="E44" s="42" t="n"/>
      <c r="F44" s="42" t="n"/>
      <c r="G44" s="42" t="n"/>
      <c r="H44" s="43" t="n"/>
    </row>
    <row r="45" ht="42" customHeight="1">
      <c r="A45" s="40" t="inlineStr">
        <is>
          <t>Poor Show-Up Rate</t>
        </is>
      </c>
      <c r="B45" s="41" t="inlineStr">
        <is>
          <t>If more than 30% of booked meetings are No Shows or Cancelled</t>
        </is>
      </c>
      <c r="C45" s="42" t="n"/>
      <c r="D45" s="42" t="n"/>
      <c r="E45" s="42" t="n"/>
      <c r="F45" s="42" t="n"/>
      <c r="G45" s="42" t="n"/>
      <c r="H45" s="43" t="n"/>
    </row>
    <row r="48" ht="20" customHeight="1">
      <c r="A48" s="3" t="inlineStr">
        <is>
          <t>CHANNEL BENCHMARKS &amp; DAILY ACTIVITY TARGETS (Strategy Deck §2.1 &amp; §2.2)</t>
        </is>
      </c>
    </row>
    <row r="49" ht="28" customHeight="1">
      <c r="A49" s="21" t="inlineStr">
        <is>
          <t>Channel</t>
        </is>
      </c>
      <c r="B49" s="21" t="inlineStr">
        <is>
          <t>Daily Volume Target</t>
        </is>
      </c>
      <c r="C49" s="21" t="inlineStr">
        <is>
          <t>Reply Rate Target</t>
        </is>
      </c>
      <c r="D49" s="21" t="inlineStr">
        <is>
          <t>Primary Role</t>
        </is>
      </c>
      <c r="E49" s="21" t="inlineStr">
        <is>
          <t>Note</t>
        </is>
      </c>
    </row>
    <row r="50" ht="28" customHeight="1">
      <c r="A50" s="6" t="inlineStr">
        <is>
          <t>WhatsApp</t>
        </is>
      </c>
      <c r="B50" s="6" t="inlineStr">
        <is>
          <t>25-30 new openers + 10-15 follow-ups</t>
        </is>
      </c>
      <c r="C50" s="42" t="n"/>
      <c r="D50" s="43" t="n"/>
      <c r="E50" s="6" t="inlineStr">
        <is>
          <t>Never use personal numbers. 40-50 max new daily.</t>
        </is>
      </c>
      <c r="F50" s="42" t="n"/>
      <c r="G50" s="43" t="n"/>
    </row>
    <row r="51" ht="28" customHeight="1">
      <c r="A51" s="7" t="inlineStr">
        <is>
          <t>LinkedIn</t>
        </is>
      </c>
      <c r="B51" s="7" t="inlineStr">
        <is>
          <t>15 connections + 10 DMs + 5 warm DMs</t>
        </is>
      </c>
      <c r="C51" s="42" t="n"/>
      <c r="D51" s="43" t="n"/>
      <c r="E51" s="7" t="inlineStr">
        <is>
          <t>Build authority via Mon/Wed/Fri content.</t>
        </is>
      </c>
      <c r="F51" s="42" t="n"/>
      <c r="G51" s="43" t="n"/>
    </row>
    <row r="52" ht="28" customHeight="1">
      <c r="A52" s="6" t="inlineStr">
        <is>
          <t>Cold Email</t>
        </is>
      </c>
      <c r="B52" s="6" t="inlineStr">
        <is>
          <t>40 initial + 5-7 follow-ups</t>
        </is>
      </c>
      <c r="C52" s="42" t="n"/>
      <c r="D52" s="43" t="n"/>
      <c r="E52" s="6" t="inlineStr">
        <is>
          <t>Subject lines: Fawtara Deadline, Case Study, Compliance Audit.</t>
        </is>
      </c>
      <c r="F52" s="42" t="n"/>
      <c r="G52" s="43" t="n"/>
    </row>
    <row r="53" ht="28" customHeight="1">
      <c r="A53" s="7" t="inlineStr">
        <is>
          <t>Calls</t>
        </is>
      </c>
      <c r="B53" s="7" t="inlineStr">
        <is>
          <t>3-5 pre-qualified only</t>
        </is>
      </c>
      <c r="C53" s="42" t="n"/>
      <c r="D53" s="43" t="n"/>
      <c r="E53" s="7" t="inlineStr">
        <is>
          <t>Use for confirmation + post-meeting follow-up only.</t>
        </is>
      </c>
      <c r="F53" s="42" t="n"/>
      <c r="G53" s="43" t="n"/>
    </row>
  </sheetData>
  <mergeCells count="40">
    <mergeCell ref="H51:M51"/>
    <mergeCell ref="H52:M52"/>
    <mergeCell ref="I45:J45"/>
    <mergeCell ref="B53:D53"/>
    <mergeCell ref="K45:L45"/>
    <mergeCell ref="N50:U50"/>
    <mergeCell ref="N51:U51"/>
    <mergeCell ref="B45:H45"/>
    <mergeCell ref="A1:T1"/>
    <mergeCell ref="N53:U53"/>
    <mergeCell ref="B41:H41"/>
    <mergeCell ref="M42:U42"/>
    <mergeCell ref="I41:J41"/>
    <mergeCell ref="M45:U45"/>
    <mergeCell ref="K44:L44"/>
    <mergeCell ref="K41:L41"/>
    <mergeCell ref="M41:U41"/>
    <mergeCell ref="B51:D51"/>
    <mergeCell ref="N52:U52"/>
    <mergeCell ref="I43:J43"/>
    <mergeCell ref="K43:L43"/>
    <mergeCell ref="I42:J42"/>
    <mergeCell ref="B43:H43"/>
    <mergeCell ref="B50:D50"/>
    <mergeCell ref="K42:L42"/>
    <mergeCell ref="E53:G53"/>
    <mergeCell ref="E50:G50"/>
    <mergeCell ref="A2:T2"/>
    <mergeCell ref="B42:H42"/>
    <mergeCell ref="H53:M53"/>
    <mergeCell ref="M43:U43"/>
    <mergeCell ref="A39:U39"/>
    <mergeCell ref="I44:J44"/>
    <mergeCell ref="A48:U48"/>
    <mergeCell ref="E52:G52"/>
    <mergeCell ref="M44:U44"/>
    <mergeCell ref="B44:H44"/>
    <mergeCell ref="H50:M50"/>
    <mergeCell ref="B52:D52"/>
    <mergeCell ref="E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2026-07-15T03:43:42Z</dcterms:created>
  <dcterms:modified xmlns:dcterms="http://purl.org/dc/terms/" xmlns:xsi="http://www.w3.org/2001/XMLSchema-instance" xsi:type="dcterms:W3CDTF">2026-07-15T03:43:45Z</dcterms:modified>
</cp:coreProperties>
</file>